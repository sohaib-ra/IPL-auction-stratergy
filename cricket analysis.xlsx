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3"/>
  </bookViews>
  <sheets>
    <sheet name="raw_data" sheetId="1" r:id="rId1"/>
    <sheet name="player_metrics" sheetId="2" r:id="rId2"/>
    <sheet name="squad_selection" sheetId="3" r:id="rId3"/>
    <sheet name="Dashboard" sheetId="4" r:id="rId4"/>
  </sheets>
  <definedNames>
    <definedName name="_xlnm._FilterDatabase" localSheetId="1" hidden="1">player_metrics!$N$1:$N$63</definedName>
    <definedName name="cricket_data" localSheetId="0">raw_data!$B$1:$N$61</definedName>
    <definedName name="solver_adj" localSheetId="2" hidden="1">squad_selection!$F$2:$F$61</definedName>
    <definedName name="solver_cvg" localSheetId="2" hidden="1">0.0001</definedName>
    <definedName name="solver_drv" localSheetId="2" hidden="1">1</definedName>
    <definedName name="solver_eng" localSheetId="2" hidden="1">3</definedName>
    <definedName name="solver_est" localSheetId="2" hidden="1">1</definedName>
    <definedName name="solver_itr" localSheetId="2" hidden="1">2147483647</definedName>
    <definedName name="solver_lhs1" localSheetId="2" hidden="1">squad_selection!$F$2:$F$61</definedName>
    <definedName name="solver_lhs2" localSheetId="2" hidden="1">squad_selection!$I$2</definedName>
    <definedName name="solver_lhs3" localSheetId="2" hidden="1">squad_selection!$I$3</definedName>
    <definedName name="solver_lhs4" localSheetId="2" hidden="1">squad_selection!$I$4</definedName>
    <definedName name="solver_lhs5" localSheetId="2" hidden="1">squad_selection!$I$5</definedName>
    <definedName name="solver_lhs6" localSheetId="2" hidden="1">squad_selection!$I$6</definedName>
    <definedName name="solver_lhs7" localSheetId="2" hidden="1">squad_selection!$I$7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7</definedName>
    <definedName name="solver_nwt" localSheetId="2" hidden="1">1</definedName>
    <definedName name="solver_opt" localSheetId="2" hidden="1">squad_selection!$I$10</definedName>
    <definedName name="solver_pre" localSheetId="2" hidden="1">0.000001</definedName>
    <definedName name="solver_rbv" localSheetId="2" hidden="1">1</definedName>
    <definedName name="solver_rel1" localSheetId="2" hidden="1">5</definedName>
    <definedName name="solver_rel2" localSheetId="2" hidden="1">2</definedName>
    <definedName name="solver_rel3" localSheetId="2" hidden="1">1</definedName>
    <definedName name="solver_rel4" localSheetId="2" hidden="1">2</definedName>
    <definedName name="solver_rel5" localSheetId="2" hidden="1">2</definedName>
    <definedName name="solver_rel6" localSheetId="2" hidden="1">2</definedName>
    <definedName name="solver_rel7" localSheetId="2" hidden="1">2</definedName>
    <definedName name="solver_rhs1" localSheetId="2" hidden="1">binary</definedName>
    <definedName name="solver_rhs2" localSheetId="2" hidden="1">12</definedName>
    <definedName name="solver_rhs3" localSheetId="2" hidden="1">90</definedName>
    <definedName name="solver_rhs4" localSheetId="2" hidden="1">4</definedName>
    <definedName name="solver_rhs5" localSheetId="2" hidden="1">4</definedName>
    <definedName name="solver_rhs6" localSheetId="2" hidden="1">3</definedName>
    <definedName name="solver_rhs7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44525"/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2" i="4"/>
  <c r="I2" i="4"/>
  <c r="J2" i="4"/>
  <c r="F5" i="4"/>
  <c r="F4" i="4"/>
  <c r="F3" i="4"/>
  <c r="F2" i="4"/>
  <c r="C5" i="4"/>
  <c r="C3" i="4"/>
  <c r="C4" i="4" s="1"/>
  <c r="C2" i="4"/>
  <c r="I2" i="3"/>
  <c r="E44" i="3"/>
  <c r="E26" i="3"/>
  <c r="E12" i="3"/>
  <c r="E60" i="3"/>
  <c r="E9" i="3"/>
  <c r="E57" i="3"/>
  <c r="E31" i="3"/>
  <c r="E10" i="3"/>
  <c r="E27" i="3"/>
  <c r="E4" i="3"/>
  <c r="E51" i="3"/>
  <c r="E36" i="3"/>
  <c r="E16" i="3"/>
  <c r="E6" i="3"/>
  <c r="E42" i="3"/>
  <c r="E34" i="3"/>
  <c r="E21" i="3"/>
  <c r="E52" i="3"/>
  <c r="E13" i="3"/>
  <c r="E56" i="3"/>
  <c r="E28" i="3"/>
  <c r="E3" i="3"/>
  <c r="E20" i="3"/>
  <c r="E37" i="3"/>
  <c r="E49" i="3"/>
  <c r="E11" i="3"/>
  <c r="E40" i="3"/>
  <c r="E19" i="3"/>
  <c r="E25" i="3"/>
  <c r="E47" i="3"/>
  <c r="E35" i="3"/>
  <c r="E23" i="3"/>
  <c r="E55" i="3"/>
  <c r="E15" i="3"/>
  <c r="E59" i="3"/>
  <c r="E41" i="3"/>
  <c r="E7" i="3"/>
  <c r="E50" i="3"/>
  <c r="E30" i="3"/>
  <c r="E45" i="3"/>
  <c r="E54" i="3"/>
  <c r="E18" i="3"/>
  <c r="E39" i="3"/>
  <c r="E33" i="3"/>
  <c r="E48" i="3"/>
  <c r="E38" i="3"/>
  <c r="E24" i="3"/>
  <c r="E58" i="3"/>
  <c r="E5" i="3"/>
  <c r="E61" i="3"/>
  <c r="E32" i="3"/>
  <c r="E2" i="3"/>
  <c r="E22" i="3"/>
  <c r="E14" i="3"/>
  <c r="E43" i="3"/>
  <c r="E46" i="3"/>
  <c r="E8" i="3"/>
  <c r="E29" i="3"/>
  <c r="E17" i="3"/>
  <c r="D44" i="3"/>
  <c r="D26" i="3"/>
  <c r="D12" i="3"/>
  <c r="D60" i="3"/>
  <c r="D9" i="3"/>
  <c r="D57" i="3"/>
  <c r="D31" i="3"/>
  <c r="D10" i="3"/>
  <c r="D27" i="3"/>
  <c r="D4" i="3"/>
  <c r="D51" i="3"/>
  <c r="D36" i="3"/>
  <c r="D16" i="3"/>
  <c r="D6" i="3"/>
  <c r="D42" i="3"/>
  <c r="D34" i="3"/>
  <c r="D21" i="3"/>
  <c r="D52" i="3"/>
  <c r="D13" i="3"/>
  <c r="D56" i="3"/>
  <c r="D28" i="3"/>
  <c r="D3" i="3"/>
  <c r="D20" i="3"/>
  <c r="D37" i="3"/>
  <c r="D49" i="3"/>
  <c r="D11" i="3"/>
  <c r="D40" i="3"/>
  <c r="D19" i="3"/>
  <c r="D25" i="3"/>
  <c r="D47" i="3"/>
  <c r="D35" i="3"/>
  <c r="D23" i="3"/>
  <c r="D55" i="3"/>
  <c r="D15" i="3"/>
  <c r="D59" i="3"/>
  <c r="D41" i="3"/>
  <c r="D7" i="3"/>
  <c r="D50" i="3"/>
  <c r="D30" i="3"/>
  <c r="D45" i="3"/>
  <c r="D54" i="3"/>
  <c r="D18" i="3"/>
  <c r="D39" i="3"/>
  <c r="D33" i="3"/>
  <c r="D48" i="3"/>
  <c r="D38" i="3"/>
  <c r="D24" i="3"/>
  <c r="D58" i="3"/>
  <c r="D5" i="3"/>
  <c r="D61" i="3"/>
  <c r="D32" i="3"/>
  <c r="D2" i="3"/>
  <c r="D22" i="3"/>
  <c r="D14" i="3"/>
  <c r="D43" i="3"/>
  <c r="D46" i="3"/>
  <c r="D8" i="3"/>
  <c r="D29" i="3"/>
  <c r="D17" i="3"/>
  <c r="C44" i="3"/>
  <c r="C26" i="3"/>
  <c r="C12" i="3"/>
  <c r="C60" i="3"/>
  <c r="C9" i="3"/>
  <c r="C57" i="3"/>
  <c r="C31" i="3"/>
  <c r="C10" i="3"/>
  <c r="C27" i="3"/>
  <c r="C4" i="3"/>
  <c r="C51" i="3"/>
  <c r="C36" i="3"/>
  <c r="C16" i="3"/>
  <c r="C6" i="3"/>
  <c r="C42" i="3"/>
  <c r="C34" i="3"/>
  <c r="C21" i="3"/>
  <c r="C52" i="3"/>
  <c r="C13" i="3"/>
  <c r="C56" i="3"/>
  <c r="C28" i="3"/>
  <c r="C3" i="3"/>
  <c r="C20" i="3"/>
  <c r="C37" i="3"/>
  <c r="C49" i="3"/>
  <c r="C11" i="3"/>
  <c r="C40" i="3"/>
  <c r="C19" i="3"/>
  <c r="C25" i="3"/>
  <c r="C47" i="3"/>
  <c r="C35" i="3"/>
  <c r="C23" i="3"/>
  <c r="C55" i="3"/>
  <c r="C15" i="3"/>
  <c r="C59" i="3"/>
  <c r="C41" i="3"/>
  <c r="C7" i="3"/>
  <c r="C50" i="3"/>
  <c r="C30" i="3"/>
  <c r="C45" i="3"/>
  <c r="C54" i="3"/>
  <c r="C18" i="3"/>
  <c r="C39" i="3"/>
  <c r="C33" i="3"/>
  <c r="C48" i="3"/>
  <c r="C38" i="3"/>
  <c r="C24" i="3"/>
  <c r="C58" i="3"/>
  <c r="C5" i="3"/>
  <c r="C61" i="3"/>
  <c r="C32" i="3"/>
  <c r="C2" i="3"/>
  <c r="C22" i="3"/>
  <c r="C14" i="3"/>
  <c r="C43" i="3"/>
  <c r="C46" i="3"/>
  <c r="C8" i="3"/>
  <c r="C29" i="3"/>
  <c r="C17" i="3"/>
  <c r="B44" i="3"/>
  <c r="B26" i="3"/>
  <c r="B12" i="3"/>
  <c r="B60" i="3"/>
  <c r="B9" i="3"/>
  <c r="B57" i="3"/>
  <c r="B31" i="3"/>
  <c r="B10" i="3"/>
  <c r="B27" i="3"/>
  <c r="B4" i="3"/>
  <c r="B51" i="3"/>
  <c r="B36" i="3"/>
  <c r="B16" i="3"/>
  <c r="B6" i="3"/>
  <c r="B42" i="3"/>
  <c r="B34" i="3"/>
  <c r="B21" i="3"/>
  <c r="B52" i="3"/>
  <c r="B13" i="3"/>
  <c r="B56" i="3"/>
  <c r="B28" i="3"/>
  <c r="B3" i="3"/>
  <c r="B20" i="3"/>
  <c r="B37" i="3"/>
  <c r="B49" i="3"/>
  <c r="B11" i="3"/>
  <c r="B40" i="3"/>
  <c r="B19" i="3"/>
  <c r="B25" i="3"/>
  <c r="B47" i="3"/>
  <c r="B35" i="3"/>
  <c r="B23" i="3"/>
  <c r="B55" i="3"/>
  <c r="B15" i="3"/>
  <c r="B59" i="3"/>
  <c r="B41" i="3"/>
  <c r="B7" i="3"/>
  <c r="B50" i="3"/>
  <c r="B30" i="3"/>
  <c r="B45" i="3"/>
  <c r="B54" i="3"/>
  <c r="B18" i="3"/>
  <c r="B39" i="3"/>
  <c r="B33" i="3"/>
  <c r="B48" i="3"/>
  <c r="B38" i="3"/>
  <c r="B24" i="3"/>
  <c r="B58" i="3"/>
  <c r="B5" i="3"/>
  <c r="B61" i="3"/>
  <c r="B32" i="3"/>
  <c r="B2" i="3"/>
  <c r="B22" i="3"/>
  <c r="B14" i="3"/>
  <c r="B43" i="3"/>
  <c r="B46" i="3"/>
  <c r="B8" i="3"/>
  <c r="B29" i="3"/>
  <c r="B17" i="3"/>
  <c r="A44" i="3"/>
  <c r="A26" i="3"/>
  <c r="A12" i="3"/>
  <c r="A60" i="3"/>
  <c r="A9" i="3"/>
  <c r="A57" i="3"/>
  <c r="A31" i="3"/>
  <c r="A10" i="3"/>
  <c r="A27" i="3"/>
  <c r="A4" i="3"/>
  <c r="A51" i="3"/>
  <c r="A36" i="3"/>
  <c r="A16" i="3"/>
  <c r="A6" i="3"/>
  <c r="A42" i="3"/>
  <c r="A34" i="3"/>
  <c r="A21" i="3"/>
  <c r="A52" i="3"/>
  <c r="A13" i="3"/>
  <c r="A56" i="3"/>
  <c r="A28" i="3"/>
  <c r="A3" i="3"/>
  <c r="A20" i="3"/>
  <c r="A37" i="3"/>
  <c r="A49" i="3"/>
  <c r="A11" i="3"/>
  <c r="A40" i="3"/>
  <c r="A19" i="3"/>
  <c r="A25" i="3"/>
  <c r="A47" i="3"/>
  <c r="A35" i="3"/>
  <c r="A23" i="3"/>
  <c r="A55" i="3"/>
  <c r="A15" i="3"/>
  <c r="A59" i="3"/>
  <c r="A41" i="3"/>
  <c r="A7" i="3"/>
  <c r="A50" i="3"/>
  <c r="A30" i="3"/>
  <c r="A45" i="3"/>
  <c r="A54" i="3"/>
  <c r="A18" i="3"/>
  <c r="A39" i="3"/>
  <c r="A33" i="3"/>
  <c r="A48" i="3"/>
  <c r="A38" i="3"/>
  <c r="A24" i="3"/>
  <c r="A58" i="3"/>
  <c r="A5" i="3"/>
  <c r="A61" i="3"/>
  <c r="A32" i="3"/>
  <c r="A2" i="3"/>
  <c r="A22" i="3"/>
  <c r="A14" i="3"/>
  <c r="A43" i="3"/>
  <c r="A46" i="3"/>
  <c r="A8" i="3"/>
  <c r="A29" i="3"/>
  <c r="A17" i="3"/>
  <c r="E53" i="3"/>
  <c r="D53" i="3"/>
  <c r="C53" i="3"/>
  <c r="B53" i="3"/>
  <c r="A53" i="3"/>
  <c r="I51" i="2"/>
  <c r="I43" i="2"/>
  <c r="I36" i="2"/>
  <c r="I59" i="2"/>
  <c r="I34" i="2"/>
  <c r="I58" i="2"/>
  <c r="I47" i="2"/>
  <c r="I37" i="2"/>
  <c r="I44" i="2"/>
  <c r="I33" i="2"/>
  <c r="I55" i="2"/>
  <c r="I49" i="2"/>
  <c r="I40" i="2"/>
  <c r="I35" i="2"/>
  <c r="I13" i="2"/>
  <c r="I10" i="2"/>
  <c r="I7" i="2"/>
  <c r="I16" i="2"/>
  <c r="I4" i="2"/>
  <c r="I17" i="2"/>
  <c r="I9" i="2"/>
  <c r="I2" i="2"/>
  <c r="I6" i="2"/>
  <c r="I11" i="2"/>
  <c r="I15" i="2"/>
  <c r="I3" i="2"/>
  <c r="I12" i="2"/>
  <c r="I5" i="2"/>
  <c r="I8" i="2"/>
  <c r="I27" i="2"/>
  <c r="I23" i="2"/>
  <c r="I20" i="2"/>
  <c r="I30" i="2"/>
  <c r="I18" i="2"/>
  <c r="I32" i="2"/>
  <c r="I25" i="2"/>
  <c r="I14" i="2"/>
  <c r="I28" i="2"/>
  <c r="I21" i="2"/>
  <c r="I26" i="2"/>
  <c r="I29" i="2"/>
  <c r="I19" i="2"/>
  <c r="I24" i="2"/>
  <c r="I22" i="2"/>
  <c r="I56" i="2"/>
  <c r="I52" i="2"/>
  <c r="I46" i="2"/>
  <c r="I60" i="2"/>
  <c r="I38" i="2"/>
  <c r="I61" i="2"/>
  <c r="I50" i="2"/>
  <c r="I31" i="2"/>
  <c r="I45" i="2"/>
  <c r="I41" i="2"/>
  <c r="I54" i="2"/>
  <c r="I57" i="2"/>
  <c r="I39" i="2"/>
  <c r="I48" i="2"/>
  <c r="I42" i="2"/>
  <c r="I53" i="2"/>
  <c r="H13" i="2"/>
  <c r="L13" i="2" s="1"/>
  <c r="H40" i="2"/>
  <c r="L40" i="2" s="1"/>
  <c r="H35" i="2"/>
  <c r="L35" i="2" s="1"/>
  <c r="H51" i="2"/>
  <c r="H43" i="2"/>
  <c r="L43" i="2" s="1"/>
  <c r="H36" i="2"/>
  <c r="L36" i="2" s="1"/>
  <c r="H59" i="2"/>
  <c r="L59" i="2" s="1"/>
  <c r="H34" i="2"/>
  <c r="L34" i="2" s="1"/>
  <c r="H58" i="2"/>
  <c r="L58" i="2" s="1"/>
  <c r="H47" i="2"/>
  <c r="L47" i="2" s="1"/>
  <c r="H37" i="2"/>
  <c r="L37" i="2" s="1"/>
  <c r="H44" i="2"/>
  <c r="H33" i="2"/>
  <c r="L33" i="2" s="1"/>
  <c r="H55" i="2"/>
  <c r="L55" i="2" s="1"/>
  <c r="H49" i="2"/>
  <c r="L49" i="2" s="1"/>
  <c r="H53" i="2"/>
  <c r="L53" i="2" s="1"/>
  <c r="H10" i="2"/>
  <c r="L10" i="2" s="1"/>
  <c r="H7" i="2"/>
  <c r="L7" i="2" s="1"/>
  <c r="H16" i="2"/>
  <c r="L16" i="2" s="1"/>
  <c r="H4" i="2"/>
  <c r="L4" i="2" s="1"/>
  <c r="H17" i="2"/>
  <c r="L17" i="2" s="1"/>
  <c r="H9" i="2"/>
  <c r="L9" i="2" s="1"/>
  <c r="H2" i="2"/>
  <c r="L2" i="2" s="1"/>
  <c r="H6" i="2"/>
  <c r="L6" i="2" s="1"/>
  <c r="H11" i="2"/>
  <c r="L11" i="2" s="1"/>
  <c r="H15" i="2"/>
  <c r="L15" i="2" s="1"/>
  <c r="H3" i="2"/>
  <c r="L3" i="2" s="1"/>
  <c r="H12" i="2"/>
  <c r="L12" i="2" s="1"/>
  <c r="H5" i="2"/>
  <c r="L5" i="2" s="1"/>
  <c r="H8" i="2"/>
  <c r="L8" i="2" s="1"/>
  <c r="H27" i="2"/>
  <c r="L27" i="2" s="1"/>
  <c r="H23" i="2"/>
  <c r="L23" i="2" s="1"/>
  <c r="H20" i="2"/>
  <c r="L20" i="2" s="1"/>
  <c r="H30" i="2"/>
  <c r="L30" i="2" s="1"/>
  <c r="H18" i="2"/>
  <c r="L18" i="2" s="1"/>
  <c r="H32" i="2"/>
  <c r="L32" i="2" s="1"/>
  <c r="H25" i="2"/>
  <c r="L25" i="2" s="1"/>
  <c r="H14" i="2"/>
  <c r="L14" i="2" s="1"/>
  <c r="H28" i="2"/>
  <c r="L28" i="2" s="1"/>
  <c r="H21" i="2"/>
  <c r="L21" i="2" s="1"/>
  <c r="H26" i="2"/>
  <c r="L26" i="2" s="1"/>
  <c r="H29" i="2"/>
  <c r="L29" i="2" s="1"/>
  <c r="H19" i="2"/>
  <c r="L19" i="2" s="1"/>
  <c r="H24" i="2"/>
  <c r="L24" i="2" s="1"/>
  <c r="H22" i="2"/>
  <c r="L22" i="2" s="1"/>
  <c r="H56" i="2"/>
  <c r="L56" i="2" s="1"/>
  <c r="H52" i="2"/>
  <c r="L52" i="2" s="1"/>
  <c r="H46" i="2"/>
  <c r="L46" i="2" s="1"/>
  <c r="H60" i="2"/>
  <c r="L60" i="2" s="1"/>
  <c r="H38" i="2"/>
  <c r="L38" i="2" s="1"/>
  <c r="H61" i="2"/>
  <c r="L61" i="2" s="1"/>
  <c r="H50" i="2"/>
  <c r="L50" i="2" s="1"/>
  <c r="H31" i="2"/>
  <c r="L31" i="2" s="1"/>
  <c r="H45" i="2"/>
  <c r="L45" i="2" s="1"/>
  <c r="H41" i="2"/>
  <c r="L41" i="2" s="1"/>
  <c r="H54" i="2"/>
  <c r="L54" i="2" s="1"/>
  <c r="H57" i="2"/>
  <c r="L57" i="2" s="1"/>
  <c r="H39" i="2"/>
  <c r="L39" i="2" s="1"/>
  <c r="H48" i="2"/>
  <c r="L48" i="2" s="1"/>
  <c r="H42" i="2"/>
  <c r="L42" i="2" s="1"/>
  <c r="G51" i="2"/>
  <c r="M51" i="2" s="1"/>
  <c r="G43" i="2"/>
  <c r="M43" i="2" s="1"/>
  <c r="G36" i="2"/>
  <c r="M36" i="2" s="1"/>
  <c r="G59" i="2"/>
  <c r="M59" i="2" s="1"/>
  <c r="G34" i="2"/>
  <c r="M34" i="2" s="1"/>
  <c r="G58" i="2"/>
  <c r="M58" i="2" s="1"/>
  <c r="G47" i="2"/>
  <c r="M47" i="2" s="1"/>
  <c r="G37" i="2"/>
  <c r="M37" i="2" s="1"/>
  <c r="G44" i="2"/>
  <c r="M44" i="2" s="1"/>
  <c r="G33" i="2"/>
  <c r="M33" i="2" s="1"/>
  <c r="G55" i="2"/>
  <c r="M55" i="2" s="1"/>
  <c r="G49" i="2"/>
  <c r="M49" i="2" s="1"/>
  <c r="G40" i="2"/>
  <c r="M40" i="2" s="1"/>
  <c r="G35" i="2"/>
  <c r="M35" i="2" s="1"/>
  <c r="G13" i="2"/>
  <c r="M13" i="2" s="1"/>
  <c r="G10" i="2"/>
  <c r="M10" i="2" s="1"/>
  <c r="G7" i="2"/>
  <c r="M7" i="2" s="1"/>
  <c r="G16" i="2"/>
  <c r="M16" i="2" s="1"/>
  <c r="G4" i="2"/>
  <c r="M4" i="2" s="1"/>
  <c r="G17" i="2"/>
  <c r="M17" i="2" s="1"/>
  <c r="G9" i="2"/>
  <c r="M9" i="2" s="1"/>
  <c r="G2" i="2"/>
  <c r="M2" i="2" s="1"/>
  <c r="G6" i="2"/>
  <c r="M6" i="2" s="1"/>
  <c r="G11" i="2"/>
  <c r="M11" i="2" s="1"/>
  <c r="G15" i="2"/>
  <c r="M15" i="2" s="1"/>
  <c r="G3" i="2"/>
  <c r="M3" i="2" s="1"/>
  <c r="G12" i="2"/>
  <c r="M12" i="2" s="1"/>
  <c r="G5" i="2"/>
  <c r="M5" i="2" s="1"/>
  <c r="G8" i="2"/>
  <c r="M8" i="2" s="1"/>
  <c r="G27" i="2"/>
  <c r="M27" i="2" s="1"/>
  <c r="G23" i="2"/>
  <c r="M23" i="2" s="1"/>
  <c r="G20" i="2"/>
  <c r="M20" i="2" s="1"/>
  <c r="G30" i="2"/>
  <c r="M30" i="2" s="1"/>
  <c r="G18" i="2"/>
  <c r="M18" i="2" s="1"/>
  <c r="G32" i="2"/>
  <c r="M32" i="2" s="1"/>
  <c r="G25" i="2"/>
  <c r="M25" i="2" s="1"/>
  <c r="G14" i="2"/>
  <c r="M14" i="2" s="1"/>
  <c r="G28" i="2"/>
  <c r="M28" i="2" s="1"/>
  <c r="G21" i="2"/>
  <c r="M21" i="2" s="1"/>
  <c r="G26" i="2"/>
  <c r="M26" i="2" s="1"/>
  <c r="G29" i="2"/>
  <c r="M29" i="2" s="1"/>
  <c r="G19" i="2"/>
  <c r="M19" i="2" s="1"/>
  <c r="G24" i="2"/>
  <c r="M24" i="2" s="1"/>
  <c r="G22" i="2"/>
  <c r="M22" i="2" s="1"/>
  <c r="G56" i="2"/>
  <c r="M56" i="2" s="1"/>
  <c r="G52" i="2"/>
  <c r="M52" i="2" s="1"/>
  <c r="G46" i="2"/>
  <c r="M46" i="2" s="1"/>
  <c r="G60" i="2"/>
  <c r="M60" i="2" s="1"/>
  <c r="G38" i="2"/>
  <c r="M38" i="2" s="1"/>
  <c r="G61" i="2"/>
  <c r="M61" i="2" s="1"/>
  <c r="G50" i="2"/>
  <c r="M50" i="2" s="1"/>
  <c r="G31" i="2"/>
  <c r="M31" i="2" s="1"/>
  <c r="G45" i="2"/>
  <c r="M45" i="2" s="1"/>
  <c r="G41" i="2"/>
  <c r="M41" i="2" s="1"/>
  <c r="G54" i="2"/>
  <c r="M54" i="2" s="1"/>
  <c r="G57" i="2"/>
  <c r="M57" i="2" s="1"/>
  <c r="G39" i="2"/>
  <c r="M39" i="2" s="1"/>
  <c r="G48" i="2"/>
  <c r="M48" i="2" s="1"/>
  <c r="G42" i="2"/>
  <c r="M42" i="2" s="1"/>
  <c r="G53" i="2"/>
  <c r="M53" i="2" s="1"/>
  <c r="B53" i="2"/>
  <c r="C53" i="2"/>
  <c r="D53" i="2"/>
  <c r="K53" i="2" s="1"/>
  <c r="E53" i="2"/>
  <c r="F53" i="2"/>
  <c r="J53" i="2" s="1"/>
  <c r="B51" i="2"/>
  <c r="C51" i="2"/>
  <c r="D51" i="2"/>
  <c r="E51" i="2"/>
  <c r="F51" i="2"/>
  <c r="B43" i="2"/>
  <c r="C43" i="2"/>
  <c r="D43" i="2"/>
  <c r="E43" i="2"/>
  <c r="F43" i="2"/>
  <c r="B36" i="2"/>
  <c r="C36" i="2"/>
  <c r="D36" i="2"/>
  <c r="E36" i="2"/>
  <c r="F36" i="2"/>
  <c r="B59" i="2"/>
  <c r="C59" i="2"/>
  <c r="D59" i="2"/>
  <c r="K59" i="2" s="1"/>
  <c r="E59" i="2"/>
  <c r="F59" i="2"/>
  <c r="J59" i="2" s="1"/>
  <c r="B34" i="2"/>
  <c r="C34" i="2"/>
  <c r="D34" i="2"/>
  <c r="E34" i="2"/>
  <c r="F34" i="2"/>
  <c r="B58" i="2"/>
  <c r="C58" i="2"/>
  <c r="D58" i="2"/>
  <c r="E58" i="2"/>
  <c r="F58" i="2"/>
  <c r="B47" i="2"/>
  <c r="C47" i="2"/>
  <c r="D47" i="2"/>
  <c r="E47" i="2"/>
  <c r="F47" i="2"/>
  <c r="B37" i="2"/>
  <c r="C37" i="2"/>
  <c r="D37" i="2"/>
  <c r="K37" i="2" s="1"/>
  <c r="E37" i="2"/>
  <c r="F37" i="2"/>
  <c r="J37" i="2" s="1"/>
  <c r="B44" i="2"/>
  <c r="C44" i="2"/>
  <c r="D44" i="2"/>
  <c r="E44" i="2"/>
  <c r="F44" i="2"/>
  <c r="B33" i="2"/>
  <c r="C33" i="2"/>
  <c r="D33" i="2"/>
  <c r="E33" i="2"/>
  <c r="F33" i="2"/>
  <c r="B55" i="2"/>
  <c r="C55" i="2"/>
  <c r="D55" i="2"/>
  <c r="E55" i="2"/>
  <c r="F55" i="2"/>
  <c r="B49" i="2"/>
  <c r="C49" i="2"/>
  <c r="D49" i="2"/>
  <c r="K49" i="2" s="1"/>
  <c r="E49" i="2"/>
  <c r="F49" i="2"/>
  <c r="J49" i="2" s="1"/>
  <c r="B40" i="2"/>
  <c r="C40" i="2"/>
  <c r="D40" i="2"/>
  <c r="E40" i="2"/>
  <c r="F40" i="2"/>
  <c r="B35" i="2"/>
  <c r="C35" i="2"/>
  <c r="D35" i="2"/>
  <c r="E35" i="2"/>
  <c r="F35" i="2"/>
  <c r="B13" i="2"/>
  <c r="C13" i="2"/>
  <c r="D13" i="2"/>
  <c r="E13" i="2"/>
  <c r="F13" i="2"/>
  <c r="B10" i="2"/>
  <c r="C10" i="2"/>
  <c r="D10" i="2"/>
  <c r="K10" i="2" s="1"/>
  <c r="E10" i="2"/>
  <c r="F10" i="2"/>
  <c r="J10" i="2" s="1"/>
  <c r="B7" i="2"/>
  <c r="C7" i="2"/>
  <c r="D7" i="2"/>
  <c r="E7" i="2"/>
  <c r="F7" i="2"/>
  <c r="B16" i="2"/>
  <c r="C16" i="2"/>
  <c r="D16" i="2"/>
  <c r="K16" i="2" s="1"/>
  <c r="E16" i="2"/>
  <c r="F16" i="2"/>
  <c r="B4" i="2"/>
  <c r="C4" i="2"/>
  <c r="D4" i="2"/>
  <c r="E4" i="2"/>
  <c r="F4" i="2"/>
  <c r="B17" i="2"/>
  <c r="C17" i="2"/>
  <c r="D17" i="2"/>
  <c r="K17" i="2" s="1"/>
  <c r="E17" i="2"/>
  <c r="F17" i="2"/>
  <c r="J17" i="2" s="1"/>
  <c r="B9" i="2"/>
  <c r="C9" i="2"/>
  <c r="D9" i="2"/>
  <c r="E9" i="2"/>
  <c r="F9" i="2"/>
  <c r="B2" i="2"/>
  <c r="C2" i="2"/>
  <c r="D2" i="2"/>
  <c r="K2" i="2" s="1"/>
  <c r="E2" i="2"/>
  <c r="F2" i="2"/>
  <c r="B6" i="2"/>
  <c r="C6" i="2"/>
  <c r="D6" i="2"/>
  <c r="E6" i="2"/>
  <c r="F6" i="2"/>
  <c r="B11" i="2"/>
  <c r="C11" i="2"/>
  <c r="D11" i="2"/>
  <c r="K11" i="2" s="1"/>
  <c r="E11" i="2"/>
  <c r="F11" i="2"/>
  <c r="J11" i="2" s="1"/>
  <c r="B15" i="2"/>
  <c r="C15" i="2"/>
  <c r="D15" i="2"/>
  <c r="E15" i="2"/>
  <c r="F15" i="2"/>
  <c r="B3" i="2"/>
  <c r="C3" i="2"/>
  <c r="D3" i="2"/>
  <c r="K3" i="2" s="1"/>
  <c r="E3" i="2"/>
  <c r="F3" i="2"/>
  <c r="B12" i="2"/>
  <c r="C12" i="2"/>
  <c r="D12" i="2"/>
  <c r="E12" i="2"/>
  <c r="F12" i="2"/>
  <c r="B5" i="2"/>
  <c r="C5" i="2"/>
  <c r="D5" i="2"/>
  <c r="K5" i="2" s="1"/>
  <c r="E5" i="2"/>
  <c r="F5" i="2"/>
  <c r="J5" i="2" s="1"/>
  <c r="B8" i="2"/>
  <c r="C8" i="2"/>
  <c r="D8" i="2"/>
  <c r="E8" i="2"/>
  <c r="F8" i="2"/>
  <c r="B27" i="2"/>
  <c r="C27" i="2"/>
  <c r="D27" i="2"/>
  <c r="K27" i="2" s="1"/>
  <c r="E27" i="2"/>
  <c r="F27" i="2"/>
  <c r="B23" i="2"/>
  <c r="C23" i="2"/>
  <c r="D23" i="2"/>
  <c r="E23" i="2"/>
  <c r="F23" i="2"/>
  <c r="B20" i="2"/>
  <c r="C20" i="2"/>
  <c r="D20" i="2"/>
  <c r="K20" i="2" s="1"/>
  <c r="E20" i="2"/>
  <c r="F20" i="2"/>
  <c r="J20" i="2" s="1"/>
  <c r="B30" i="2"/>
  <c r="C30" i="2"/>
  <c r="D30" i="2"/>
  <c r="E30" i="2"/>
  <c r="F30" i="2"/>
  <c r="B18" i="2"/>
  <c r="C18" i="2"/>
  <c r="D18" i="2"/>
  <c r="K18" i="2" s="1"/>
  <c r="E18" i="2"/>
  <c r="F18" i="2"/>
  <c r="B32" i="2"/>
  <c r="C32" i="2"/>
  <c r="D32" i="2"/>
  <c r="E32" i="2"/>
  <c r="F32" i="2"/>
  <c r="B25" i="2"/>
  <c r="C25" i="2"/>
  <c r="D25" i="2"/>
  <c r="K25" i="2" s="1"/>
  <c r="E25" i="2"/>
  <c r="F25" i="2"/>
  <c r="J25" i="2" s="1"/>
  <c r="B14" i="2"/>
  <c r="C14" i="2"/>
  <c r="D14" i="2"/>
  <c r="E14" i="2"/>
  <c r="F14" i="2"/>
  <c r="B28" i="2"/>
  <c r="C28" i="2"/>
  <c r="D28" i="2"/>
  <c r="K28" i="2" s="1"/>
  <c r="E28" i="2"/>
  <c r="F28" i="2"/>
  <c r="B21" i="2"/>
  <c r="C21" i="2"/>
  <c r="D21" i="2"/>
  <c r="E21" i="2"/>
  <c r="F21" i="2"/>
  <c r="B26" i="2"/>
  <c r="C26" i="2"/>
  <c r="D26" i="2"/>
  <c r="K26" i="2" s="1"/>
  <c r="E26" i="2"/>
  <c r="F26" i="2"/>
  <c r="J26" i="2" s="1"/>
  <c r="B29" i="2"/>
  <c r="C29" i="2"/>
  <c r="D29" i="2"/>
  <c r="E29" i="2"/>
  <c r="F29" i="2"/>
  <c r="B19" i="2"/>
  <c r="C19" i="2"/>
  <c r="D19" i="2"/>
  <c r="K19" i="2" s="1"/>
  <c r="E19" i="2"/>
  <c r="F19" i="2"/>
  <c r="B24" i="2"/>
  <c r="C24" i="2"/>
  <c r="D24" i="2"/>
  <c r="E24" i="2"/>
  <c r="F24" i="2"/>
  <c r="B22" i="2"/>
  <c r="C22" i="2"/>
  <c r="D22" i="2"/>
  <c r="K22" i="2" s="1"/>
  <c r="E22" i="2"/>
  <c r="F22" i="2"/>
  <c r="J22" i="2" s="1"/>
  <c r="B56" i="2"/>
  <c r="C56" i="2"/>
  <c r="D56" i="2"/>
  <c r="E56" i="2"/>
  <c r="F56" i="2"/>
  <c r="B52" i="2"/>
  <c r="C52" i="2"/>
  <c r="D52" i="2"/>
  <c r="K52" i="2" s="1"/>
  <c r="E52" i="2"/>
  <c r="F52" i="2"/>
  <c r="B46" i="2"/>
  <c r="C46" i="2"/>
  <c r="D46" i="2"/>
  <c r="E46" i="2"/>
  <c r="F46" i="2"/>
  <c r="B60" i="2"/>
  <c r="C60" i="2"/>
  <c r="D60" i="2"/>
  <c r="K60" i="2" s="1"/>
  <c r="E60" i="2"/>
  <c r="F60" i="2"/>
  <c r="J60" i="2" s="1"/>
  <c r="B38" i="2"/>
  <c r="C38" i="2"/>
  <c r="D38" i="2"/>
  <c r="E38" i="2"/>
  <c r="F38" i="2"/>
  <c r="B61" i="2"/>
  <c r="C61" i="2"/>
  <c r="D61" i="2"/>
  <c r="K61" i="2" s="1"/>
  <c r="E61" i="2"/>
  <c r="F61" i="2"/>
  <c r="B50" i="2"/>
  <c r="C50" i="2"/>
  <c r="D50" i="2"/>
  <c r="E50" i="2"/>
  <c r="F50" i="2"/>
  <c r="B31" i="2"/>
  <c r="C31" i="2"/>
  <c r="D31" i="2"/>
  <c r="K31" i="2" s="1"/>
  <c r="E31" i="2"/>
  <c r="F31" i="2"/>
  <c r="J31" i="2" s="1"/>
  <c r="B45" i="2"/>
  <c r="C45" i="2"/>
  <c r="D45" i="2"/>
  <c r="E45" i="2"/>
  <c r="F45" i="2"/>
  <c r="B41" i="2"/>
  <c r="C41" i="2"/>
  <c r="D41" i="2"/>
  <c r="K41" i="2" s="1"/>
  <c r="E41" i="2"/>
  <c r="F41" i="2"/>
  <c r="B54" i="2"/>
  <c r="C54" i="2"/>
  <c r="D54" i="2"/>
  <c r="E54" i="2"/>
  <c r="F54" i="2"/>
  <c r="B57" i="2"/>
  <c r="C57" i="2"/>
  <c r="D57" i="2"/>
  <c r="K57" i="2" s="1"/>
  <c r="E57" i="2"/>
  <c r="F57" i="2"/>
  <c r="J57" i="2" s="1"/>
  <c r="B39" i="2"/>
  <c r="C39" i="2"/>
  <c r="D39" i="2"/>
  <c r="E39" i="2"/>
  <c r="F39" i="2"/>
  <c r="B48" i="2"/>
  <c r="C48" i="2"/>
  <c r="D48" i="2"/>
  <c r="K48" i="2" s="1"/>
  <c r="E48" i="2"/>
  <c r="F48" i="2"/>
  <c r="J48" i="2" s="1"/>
  <c r="B42" i="2"/>
  <c r="C42" i="2"/>
  <c r="D42" i="2"/>
  <c r="E42" i="2"/>
  <c r="F42" i="2"/>
  <c r="A51" i="2"/>
  <c r="A43" i="2"/>
  <c r="A36" i="2"/>
  <c r="A59" i="2"/>
  <c r="A34" i="2"/>
  <c r="A58" i="2"/>
  <c r="A47" i="2"/>
  <c r="A37" i="2"/>
  <c r="A44" i="2"/>
  <c r="A33" i="2"/>
  <c r="A55" i="2"/>
  <c r="A49" i="2"/>
  <c r="A40" i="2"/>
  <c r="A35" i="2"/>
  <c r="A13" i="2"/>
  <c r="A10" i="2"/>
  <c r="A7" i="2"/>
  <c r="A16" i="2"/>
  <c r="A4" i="2"/>
  <c r="A17" i="2"/>
  <c r="A9" i="2"/>
  <c r="A2" i="2"/>
  <c r="A6" i="2"/>
  <c r="A11" i="2"/>
  <c r="A15" i="2"/>
  <c r="A3" i="2"/>
  <c r="A12" i="2"/>
  <c r="A5" i="2"/>
  <c r="A8" i="2"/>
  <c r="A27" i="2"/>
  <c r="A23" i="2"/>
  <c r="A20" i="2"/>
  <c r="A30" i="2"/>
  <c r="A18" i="2"/>
  <c r="A32" i="2"/>
  <c r="A25" i="2"/>
  <c r="A14" i="2"/>
  <c r="A28" i="2"/>
  <c r="A21" i="2"/>
  <c r="A26" i="2"/>
  <c r="A29" i="2"/>
  <c r="A19" i="2"/>
  <c r="A24" i="2"/>
  <c r="A22" i="2"/>
  <c r="A56" i="2"/>
  <c r="A52" i="2"/>
  <c r="A46" i="2"/>
  <c r="A60" i="2"/>
  <c r="A38" i="2"/>
  <c r="A61" i="2"/>
  <c r="A50" i="2"/>
  <c r="A31" i="2"/>
  <c r="A45" i="2"/>
  <c r="A41" i="2"/>
  <c r="A54" i="2"/>
  <c r="A57" i="2"/>
  <c r="A39" i="2"/>
  <c r="A48" i="2"/>
  <c r="A42" i="2"/>
  <c r="A53" i="2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2" i="1"/>
  <c r="I10" i="3" l="1"/>
  <c r="I4" i="3"/>
  <c r="I5" i="3"/>
  <c r="I6" i="3"/>
  <c r="I7" i="3"/>
  <c r="K35" i="2"/>
  <c r="K33" i="2"/>
  <c r="K58" i="2"/>
  <c r="L44" i="2"/>
  <c r="J41" i="2"/>
  <c r="J61" i="2"/>
  <c r="J52" i="2"/>
  <c r="J19" i="2"/>
  <c r="J28" i="2"/>
  <c r="J18" i="2"/>
  <c r="J27" i="2"/>
  <c r="J3" i="2"/>
  <c r="J2" i="2"/>
  <c r="J16" i="2"/>
  <c r="J35" i="2"/>
  <c r="J33" i="2"/>
  <c r="J58" i="2"/>
  <c r="J43" i="2"/>
  <c r="K43" i="2"/>
  <c r="J42" i="2"/>
  <c r="K39" i="2"/>
  <c r="J54" i="2"/>
  <c r="K45" i="2"/>
  <c r="J50" i="2"/>
  <c r="K38" i="2"/>
  <c r="J46" i="2"/>
  <c r="K56" i="2"/>
  <c r="J24" i="2"/>
  <c r="K29" i="2"/>
  <c r="J21" i="2"/>
  <c r="K14" i="2"/>
  <c r="J32" i="2"/>
  <c r="K30" i="2"/>
  <c r="J23" i="2"/>
  <c r="K8" i="2"/>
  <c r="J12" i="2"/>
  <c r="K15" i="2"/>
  <c r="J6" i="2"/>
  <c r="K9" i="2"/>
  <c r="J4" i="2"/>
  <c r="K7" i="2"/>
  <c r="J13" i="2"/>
  <c r="K40" i="2"/>
  <c r="J55" i="2"/>
  <c r="K44" i="2"/>
  <c r="J47" i="2"/>
  <c r="K34" i="2"/>
  <c r="J36" i="2"/>
  <c r="K51" i="2"/>
  <c r="L51" i="2"/>
  <c r="K42" i="2"/>
  <c r="J39" i="2"/>
  <c r="K54" i="2"/>
  <c r="J45" i="2"/>
  <c r="K50" i="2"/>
  <c r="J38" i="2"/>
  <c r="K46" i="2"/>
  <c r="J56" i="2"/>
  <c r="K24" i="2"/>
  <c r="J29" i="2"/>
  <c r="K21" i="2"/>
  <c r="J14" i="2"/>
  <c r="K32" i="2"/>
  <c r="J30" i="2"/>
  <c r="K23" i="2"/>
  <c r="J8" i="2"/>
  <c r="L62" i="2" s="1"/>
  <c r="N3" i="2" s="1"/>
  <c r="O3" i="2" s="1"/>
  <c r="K12" i="2"/>
  <c r="J15" i="2"/>
  <c r="K6" i="2"/>
  <c r="J9" i="2"/>
  <c r="K4" i="2"/>
  <c r="J7" i="2"/>
  <c r="K13" i="2"/>
  <c r="J40" i="2"/>
  <c r="K55" i="2"/>
  <c r="J44" i="2"/>
  <c r="K47" i="2"/>
  <c r="J34" i="2"/>
  <c r="K36" i="2"/>
  <c r="J51" i="2"/>
  <c r="M62" i="2"/>
  <c r="K62" i="2" l="1"/>
  <c r="N35" i="2" s="1"/>
  <c r="O35" i="2" s="1"/>
  <c r="N15" i="2"/>
  <c r="O15" i="2" s="1"/>
  <c r="J62" i="2"/>
  <c r="N54" i="2" s="1"/>
  <c r="O54" i="2" s="1"/>
  <c r="N11" i="2"/>
  <c r="O11" i="2" s="1"/>
  <c r="N4" i="2"/>
  <c r="O4" i="2" s="1"/>
  <c r="N9" i="2"/>
  <c r="O9" i="2" s="1"/>
  <c r="N12" i="2"/>
  <c r="O12" i="2" s="1"/>
  <c r="N17" i="2"/>
  <c r="O17" i="2" s="1"/>
  <c r="N13" i="2"/>
  <c r="O13" i="2" s="1"/>
  <c r="N6" i="2"/>
  <c r="O6" i="2" s="1"/>
  <c r="N10" i="2"/>
  <c r="O10" i="2" s="1"/>
  <c r="N5" i="2"/>
  <c r="O5" i="2" s="1"/>
  <c r="N7" i="2"/>
  <c r="O7" i="2" s="1"/>
  <c r="N34" i="2"/>
  <c r="O34" i="2" s="1"/>
  <c r="N16" i="2"/>
  <c r="O16" i="2" s="1"/>
  <c r="N59" i="2"/>
  <c r="O59" i="2" s="1"/>
  <c r="N2" i="2"/>
  <c r="O2" i="2" s="1"/>
  <c r="N37" i="2"/>
  <c r="O37" i="2" s="1"/>
  <c r="N8" i="2"/>
  <c r="O8" i="2" s="1"/>
  <c r="N61" i="2"/>
  <c r="O61" i="2" s="1"/>
  <c r="N22" i="2"/>
  <c r="O22" i="2" s="1"/>
  <c r="N28" i="2"/>
  <c r="O28" i="2" s="1"/>
  <c r="N41" i="2" l="1"/>
  <c r="O41" i="2" s="1"/>
  <c r="N58" i="2"/>
  <c r="O58" i="2" s="1"/>
  <c r="N14" i="2"/>
  <c r="O14" i="2" s="1"/>
  <c r="N49" i="2"/>
  <c r="O49" i="2" s="1"/>
  <c r="N60" i="2"/>
  <c r="O60" i="2" s="1"/>
  <c r="N48" i="2"/>
  <c r="O48" i="2" s="1"/>
  <c r="N38" i="2"/>
  <c r="O38" i="2" s="1"/>
  <c r="N56" i="2"/>
  <c r="O56" i="2" s="1"/>
  <c r="N23" i="2"/>
  <c r="O23" i="2" s="1"/>
  <c r="N29" i="2"/>
  <c r="O29" i="2" s="1"/>
  <c r="N19" i="2"/>
  <c r="O19" i="2" s="1"/>
  <c r="N47" i="2"/>
  <c r="O47" i="2" s="1"/>
  <c r="N30" i="2"/>
  <c r="O30" i="2" s="1"/>
  <c r="N52" i="2"/>
  <c r="O52" i="2" s="1"/>
  <c r="N20" i="2"/>
  <c r="O20" i="2" s="1"/>
  <c r="N57" i="2"/>
  <c r="O57" i="2" s="1"/>
  <c r="N51" i="2"/>
  <c r="O51" i="2" s="1"/>
  <c r="N18" i="2"/>
  <c r="O18" i="2" s="1"/>
  <c r="N40" i="2"/>
  <c r="O40" i="2" s="1"/>
  <c r="N46" i="2"/>
  <c r="O46" i="2" s="1"/>
  <c r="N27" i="2"/>
  <c r="O27" i="2" s="1"/>
  <c r="N44" i="2"/>
  <c r="O44" i="2" s="1"/>
  <c r="N42" i="2"/>
  <c r="O42" i="2" s="1"/>
  <c r="N31" i="2"/>
  <c r="O31" i="2" s="1"/>
  <c r="N32" i="2"/>
  <c r="O32" i="2" s="1"/>
  <c r="N45" i="2"/>
  <c r="O45" i="2" s="1"/>
  <c r="N26" i="2"/>
  <c r="O26" i="2" s="1"/>
  <c r="N33" i="2"/>
  <c r="O33" i="2" s="1"/>
  <c r="N25" i="2"/>
  <c r="O25" i="2" s="1"/>
  <c r="N55" i="2"/>
  <c r="O55" i="2" s="1"/>
  <c r="N39" i="2"/>
  <c r="O39" i="2" s="1"/>
  <c r="N24" i="2"/>
  <c r="O24" i="2" s="1"/>
  <c r="N43" i="2"/>
  <c r="O43" i="2" s="1"/>
  <c r="N53" i="2"/>
  <c r="O53" i="2" s="1"/>
  <c r="N21" i="2"/>
  <c r="O21" i="2" s="1"/>
  <c r="N36" i="2"/>
  <c r="O36" i="2" s="1"/>
  <c r="N50" i="2"/>
  <c r="O50" i="2" s="1"/>
</calcChain>
</file>

<file path=xl/connections.xml><?xml version="1.0" encoding="utf-8"?>
<connections xmlns="http://schemas.openxmlformats.org/spreadsheetml/2006/main">
  <connection id="1" name="cricket_data" type="6" refreshedVersion="4" background="1" saveData="1">
    <textPr codePage="437" sourceFile="C:\Users\DELL\Desktop\cricket_data.txt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<sst xmlns="http://schemas.openxmlformats.org/spreadsheetml/2006/main" count="174" uniqueCount="105">
  <si>
    <t>Player_Name</t>
  </si>
  <si>
    <t>Role</t>
  </si>
  <si>
    <t>Matches</t>
  </si>
  <si>
    <t>Runs</t>
  </si>
  <si>
    <t>Balls_Faced</t>
  </si>
  <si>
    <t>100s</t>
  </si>
  <si>
    <t>50s</t>
  </si>
  <si>
    <t>Wickets</t>
  </si>
  <si>
    <t>Overs_Bowled</t>
  </si>
  <si>
    <t>Runs_Conceded</t>
  </si>
  <si>
    <t>Catches</t>
  </si>
  <si>
    <t>Stumpings</t>
  </si>
  <si>
    <t>Auction_Price_Cr</t>
  </si>
  <si>
    <t>Aarav Shekhawat</t>
  </si>
  <si>
    <t>Batsman</t>
  </si>
  <si>
    <t>Dev Malhotra</t>
  </si>
  <si>
    <t>Rishan Bedi</t>
  </si>
  <si>
    <t>Kunal Purohit</t>
  </si>
  <si>
    <t>Yash Vartak</t>
  </si>
  <si>
    <t>Manan Kapoor</t>
  </si>
  <si>
    <t>Rajat Talwar</t>
  </si>
  <si>
    <t>Nikhil Arora</t>
  </si>
  <si>
    <t>Samar Khatri</t>
  </si>
  <si>
    <t>Aditya Solanki</t>
  </si>
  <si>
    <t>Harshil Mehta</t>
  </si>
  <si>
    <t>Pranav Wagh</t>
  </si>
  <si>
    <t>Ishaan Dhamija</t>
  </si>
  <si>
    <t>Tanish Roy</t>
  </si>
  <si>
    <t>Vedant Kulkarni</t>
  </si>
  <si>
    <t>Arjun Bhalerao</t>
  </si>
  <si>
    <t>Bowler</t>
  </si>
  <si>
    <t>Siddharth Kaulkar</t>
  </si>
  <si>
    <t>Mohit Deshpande</t>
  </si>
  <si>
    <t>Laksh Nayak</t>
  </si>
  <si>
    <t>Varun Jaitley</t>
  </si>
  <si>
    <t>Parth Keni</t>
  </si>
  <si>
    <t>Rahul Divate</t>
  </si>
  <si>
    <t>Neel Verma</t>
  </si>
  <si>
    <t>Saurabh Pathak</t>
  </si>
  <si>
    <t>Gagan Trivedi</t>
  </si>
  <si>
    <t>Ritwik Sahaal</t>
  </si>
  <si>
    <t>Hemant Luniya</t>
  </si>
  <si>
    <t>Keshav Rawat</t>
  </si>
  <si>
    <t>Yuvraj Mahadik</t>
  </si>
  <si>
    <t>Tarun Sethi</t>
  </si>
  <si>
    <t>Rohan Mankad</t>
  </si>
  <si>
    <t>All-Rounder</t>
  </si>
  <si>
    <t>Amitesh Pillai</t>
  </si>
  <si>
    <t>Dhruv Menon</t>
  </si>
  <si>
    <t>Kartik Iyer</t>
  </si>
  <si>
    <t>Soham Borkar</t>
  </si>
  <si>
    <t>Jayant Pande</t>
  </si>
  <si>
    <t>Nirav Doshi</t>
  </si>
  <si>
    <t>Arpit Bansal</t>
  </si>
  <si>
    <t>Siddhant Gokhale</t>
  </si>
  <si>
    <t>Manav Reddy</t>
  </si>
  <si>
    <t>Harit Shah</t>
  </si>
  <si>
    <t>Vikram Khurana</t>
  </si>
  <si>
    <t>Prerit Anand</t>
  </si>
  <si>
    <t>Samarjeet Gill</t>
  </si>
  <si>
    <t>Yatin Choudhary</t>
  </si>
  <si>
    <t>Ritesh Walia</t>
  </si>
  <si>
    <t>Wicketkeeper</t>
  </si>
  <si>
    <t>Anuj Dhingra</t>
  </si>
  <si>
    <t>Piyush Kakkar</t>
  </si>
  <si>
    <t>Saket Bafna</t>
  </si>
  <si>
    <t>Rohit Tamhane</t>
  </si>
  <si>
    <t>Naman Luthra</t>
  </si>
  <si>
    <t>Tejas Panchal</t>
  </si>
  <si>
    <t>Harsh Daga</t>
  </si>
  <si>
    <t>Karan Bhise</t>
  </si>
  <si>
    <t>Uday Patwardhan</t>
  </si>
  <si>
    <t>Vivek Shetty</t>
  </si>
  <si>
    <t>Darshil Vora</t>
  </si>
  <si>
    <t>Keshin Parekh</t>
  </si>
  <si>
    <t>Lakshay Oberoi</t>
  </si>
  <si>
    <t>Pratham Goyal</t>
  </si>
  <si>
    <t>player_id</t>
  </si>
  <si>
    <t>Bowling_Average</t>
  </si>
  <si>
    <t>Player_ID</t>
  </si>
  <si>
    <t>Strike_Rate</t>
  </si>
  <si>
    <t>Batting_Average</t>
  </si>
  <si>
    <t>Economy_Rate</t>
  </si>
  <si>
    <t>impact score</t>
  </si>
  <si>
    <t>value_index</t>
  </si>
  <si>
    <t>player_name</t>
  </si>
  <si>
    <t>Auction_price</t>
  </si>
  <si>
    <t>Impact_score</t>
  </si>
  <si>
    <t>Value_index</t>
  </si>
  <si>
    <t>Total Cost</t>
  </si>
  <si>
    <t>Batsmen</t>
  </si>
  <si>
    <t>Bowlers</t>
  </si>
  <si>
    <t>All-Rounders</t>
  </si>
  <si>
    <t>Wicketkeepers</t>
  </si>
  <si>
    <t xml:space="preserve"> </t>
  </si>
  <si>
    <t>Total players</t>
  </si>
  <si>
    <t>Team Impact</t>
  </si>
  <si>
    <t>selected</t>
  </si>
  <si>
    <t>Total Squad Cost</t>
  </si>
  <si>
    <t>Team Impact Score</t>
  </si>
  <si>
    <t>Avg Impact per Player</t>
  </si>
  <si>
    <t>Remaining Budget</t>
  </si>
  <si>
    <t xml:space="preserve">player name </t>
  </si>
  <si>
    <t>auction_price</t>
  </si>
  <si>
    <t>impact_score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</si>
</sst>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2" fontId="0" fillId="0" borderId="0" xfId="0" applyNumberFormat="1" applyAlignment="1">
      <alignment vertical="center" wrapText="1"/>
    </xf>
    <xf numFmtId="2" fontId="1" fillId="0" borderId="0" xfId="0" applyNumberFormat="1" applyFont="1" applyAlignment="1">
      <alignment horizontal="right" vertical="center" wrapText="1"/>
    </xf>
    <xf numFmtId="175" fontId="1" fillId="0" borderId="0" xfId="0" applyNumberFormat="1" applyFont="1" applyAlignment="1">
      <alignment vertical="center" wrapText="1"/>
    </xf>
    <xf numFmtId="17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Squad</a:t>
            </a:r>
            <a:r>
              <a:rPr lang="en-IN" baseline="0"/>
              <a:t> composition</a:t>
            </a:r>
            <a:endParaRPr lang="en-IN"/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Dashboard!$E$2:$E$5</c:f>
              <c:strCache>
                <c:ptCount val="4"/>
                <c:pt idx="0">
                  <c:v>Batsmen</c:v>
                </c:pt>
                <c:pt idx="1">
                  <c:v>Bowlers</c:v>
                </c:pt>
                <c:pt idx="2">
                  <c:v>All-Rounders</c:v>
                </c:pt>
                <c:pt idx="3">
                  <c:v>Wicketkeepers</c:v>
                </c:pt>
              </c:strCache>
            </c:strRef>
          </c:cat>
          <c:val>
            <c:numRef>
              <c:f>Dashboard!$F$2:$F$5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player performance vs auction price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628491125911729"/>
          <c:y val="0.15701581579210566"/>
          <c:w val="0.63732474213745538"/>
          <c:h val="0.6356293209672789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strRef>
              <c:f>Dashboard!$H$2:$H$61</c:f>
              <c:strCache>
                <c:ptCount val="60"/>
                <c:pt idx="0">
                  <c:v>Neel Verma</c:v>
                </c:pt>
                <c:pt idx="1">
                  <c:v>Hemant Luniya</c:v>
                </c:pt>
                <c:pt idx="2">
                  <c:v>Varun Jaitley</c:v>
                </c:pt>
                <c:pt idx="3">
                  <c:v>Yuvraj Mahadik</c:v>
                </c:pt>
                <c:pt idx="4">
                  <c:v>Saurabh Pathak</c:v>
                </c:pt>
                <c:pt idx="5">
                  <c:v>Mohit Deshpande</c:v>
                </c:pt>
                <c:pt idx="6">
                  <c:v>Tarun Sethi</c:v>
                </c:pt>
                <c:pt idx="7">
                  <c:v>Rahul Divate</c:v>
                </c:pt>
                <c:pt idx="8">
                  <c:v>Siddharth Kaulkar</c:v>
                </c:pt>
                <c:pt idx="9">
                  <c:v>Gagan Trivedi</c:v>
                </c:pt>
                <c:pt idx="10">
                  <c:v>Keshav Rawat</c:v>
                </c:pt>
                <c:pt idx="11">
                  <c:v>Arjun Bhalerao</c:v>
                </c:pt>
                <c:pt idx="12">
                  <c:v>Arpit Bansal</c:v>
                </c:pt>
                <c:pt idx="13">
                  <c:v>Ritwik Sahaal</c:v>
                </c:pt>
                <c:pt idx="14">
                  <c:v>Laksh Nayak</c:v>
                </c:pt>
                <c:pt idx="15">
                  <c:v>Parth Keni</c:v>
                </c:pt>
                <c:pt idx="16">
                  <c:v>Soham Borkar</c:v>
                </c:pt>
                <c:pt idx="17">
                  <c:v>Prerit Anand</c:v>
                </c:pt>
                <c:pt idx="18">
                  <c:v>Dhruv Menon</c:v>
                </c:pt>
                <c:pt idx="19">
                  <c:v>Manav Reddy</c:v>
                </c:pt>
                <c:pt idx="20">
                  <c:v>Yatin Choudhary</c:v>
                </c:pt>
                <c:pt idx="21">
                  <c:v>Amitesh Pillai</c:v>
                </c:pt>
                <c:pt idx="22">
                  <c:v>Samarjeet Gill</c:v>
                </c:pt>
                <c:pt idx="23">
                  <c:v>Nirav Doshi</c:v>
                </c:pt>
                <c:pt idx="24">
                  <c:v>Harit Shah</c:v>
                </c:pt>
                <c:pt idx="25">
                  <c:v>Rohan Mankad</c:v>
                </c:pt>
                <c:pt idx="26">
                  <c:v>Siddhant Gokhale</c:v>
                </c:pt>
                <c:pt idx="27">
                  <c:v>Vikram Khurana</c:v>
                </c:pt>
                <c:pt idx="28">
                  <c:v>Kartik Iyer</c:v>
                </c:pt>
                <c:pt idx="29">
                  <c:v>Harsh Daga</c:v>
                </c:pt>
                <c:pt idx="30">
                  <c:v>Jayant Pande</c:v>
                </c:pt>
                <c:pt idx="31">
                  <c:v>Harshil Mehta</c:v>
                </c:pt>
                <c:pt idx="32">
                  <c:v>Manan Kapoor</c:v>
                </c:pt>
                <c:pt idx="33">
                  <c:v>Vedant Kulkarni</c:v>
                </c:pt>
                <c:pt idx="34">
                  <c:v>Kunal Purohit</c:v>
                </c:pt>
                <c:pt idx="35">
                  <c:v>Samar Khatri</c:v>
                </c:pt>
                <c:pt idx="36">
                  <c:v>Rohit Tamhane</c:v>
                </c:pt>
                <c:pt idx="37">
                  <c:v>Keshin Parekh</c:v>
                </c:pt>
                <c:pt idx="38">
                  <c:v>Tanish Roy</c:v>
                </c:pt>
                <c:pt idx="39">
                  <c:v>Uday Patwardhan</c:v>
                </c:pt>
                <c:pt idx="40">
                  <c:v>Pratham Goyal</c:v>
                </c:pt>
                <c:pt idx="41">
                  <c:v>Rishan Bedi</c:v>
                </c:pt>
                <c:pt idx="42">
                  <c:v>Aditya Solanki</c:v>
                </c:pt>
                <c:pt idx="43">
                  <c:v>Karan Bhise</c:v>
                </c:pt>
                <c:pt idx="44">
                  <c:v>Piyush Kakkar</c:v>
                </c:pt>
                <c:pt idx="45">
                  <c:v>Nikhil Arora</c:v>
                </c:pt>
                <c:pt idx="46">
                  <c:v>Lakshay Oberoi</c:v>
                </c:pt>
                <c:pt idx="47">
                  <c:v>Ishaan Dhamija</c:v>
                </c:pt>
                <c:pt idx="48">
                  <c:v>Tejas Panchal</c:v>
                </c:pt>
                <c:pt idx="49">
                  <c:v>Dev Malhotra</c:v>
                </c:pt>
                <c:pt idx="50">
                  <c:v>Anuj Dhingra</c:v>
                </c:pt>
                <c:pt idx="51">
                  <c:v>Aarav Shekhawat</c:v>
                </c:pt>
                <c:pt idx="52">
                  <c:v>Vivek Shetty</c:v>
                </c:pt>
                <c:pt idx="53">
                  <c:v>Pranav Wagh</c:v>
                </c:pt>
                <c:pt idx="54">
                  <c:v>Ritesh Walia</c:v>
                </c:pt>
                <c:pt idx="55">
                  <c:v>Darshil Vora</c:v>
                </c:pt>
                <c:pt idx="56">
                  <c:v>Rajat Talwar</c:v>
                </c:pt>
                <c:pt idx="57">
                  <c:v>Yash Vartak</c:v>
                </c:pt>
                <c:pt idx="58">
                  <c:v>Saket Bafna</c:v>
                </c:pt>
                <c:pt idx="59">
                  <c:v>Naman Luthra</c:v>
                </c:pt>
              </c:strCache>
            </c:strRef>
          </c:xVal>
          <c:yVal>
            <c:numRef>
              <c:f>Dashboard!$I$2:$I$61</c:f>
              <c:numCache>
                <c:formatCode>General</c:formatCode>
                <c:ptCount val="60"/>
                <c:pt idx="0">
                  <c:v>14.5</c:v>
                </c:pt>
                <c:pt idx="1">
                  <c:v>12.2</c:v>
                </c:pt>
                <c:pt idx="2">
                  <c:v>8.5</c:v>
                </c:pt>
                <c:pt idx="3">
                  <c:v>6.2</c:v>
                </c:pt>
                <c:pt idx="4">
                  <c:v>17.3</c:v>
                </c:pt>
                <c:pt idx="5">
                  <c:v>5.5</c:v>
                </c:pt>
                <c:pt idx="6">
                  <c:v>15.6</c:v>
                </c:pt>
                <c:pt idx="7">
                  <c:v>9.1999999999999993</c:v>
                </c:pt>
                <c:pt idx="8">
                  <c:v>5.8</c:v>
                </c:pt>
                <c:pt idx="9">
                  <c:v>8.6999999999999993</c:v>
                </c:pt>
                <c:pt idx="10">
                  <c:v>4.8</c:v>
                </c:pt>
                <c:pt idx="11">
                  <c:v>13.9</c:v>
                </c:pt>
                <c:pt idx="12">
                  <c:v>10.5</c:v>
                </c:pt>
                <c:pt idx="13">
                  <c:v>6.5</c:v>
                </c:pt>
                <c:pt idx="14">
                  <c:v>5.2</c:v>
                </c:pt>
                <c:pt idx="15">
                  <c:v>11.8</c:v>
                </c:pt>
                <c:pt idx="16">
                  <c:v>9.6999999999999993</c:v>
                </c:pt>
                <c:pt idx="17">
                  <c:v>7.5</c:v>
                </c:pt>
                <c:pt idx="18">
                  <c:v>14.2</c:v>
                </c:pt>
                <c:pt idx="19">
                  <c:v>6.2</c:v>
                </c:pt>
                <c:pt idx="20">
                  <c:v>15.5</c:v>
                </c:pt>
                <c:pt idx="21">
                  <c:v>8.9</c:v>
                </c:pt>
                <c:pt idx="22">
                  <c:v>4.5</c:v>
                </c:pt>
                <c:pt idx="23">
                  <c:v>7.2</c:v>
                </c:pt>
                <c:pt idx="24">
                  <c:v>10.6</c:v>
                </c:pt>
                <c:pt idx="25">
                  <c:v>13.4</c:v>
                </c:pt>
                <c:pt idx="26">
                  <c:v>5.8</c:v>
                </c:pt>
                <c:pt idx="27">
                  <c:v>11.2</c:v>
                </c:pt>
                <c:pt idx="28">
                  <c:v>7.1</c:v>
                </c:pt>
                <c:pt idx="29">
                  <c:v>8.4</c:v>
                </c:pt>
                <c:pt idx="30">
                  <c:v>12.9</c:v>
                </c:pt>
                <c:pt idx="31">
                  <c:v>10.4</c:v>
                </c:pt>
                <c:pt idx="32">
                  <c:v>8.1</c:v>
                </c:pt>
                <c:pt idx="33">
                  <c:v>15.2</c:v>
                </c:pt>
                <c:pt idx="34">
                  <c:v>6.3</c:v>
                </c:pt>
                <c:pt idx="35">
                  <c:v>16.8</c:v>
                </c:pt>
                <c:pt idx="36">
                  <c:v>11.5</c:v>
                </c:pt>
                <c:pt idx="37">
                  <c:v>5.2</c:v>
                </c:pt>
                <c:pt idx="38">
                  <c:v>13.6</c:v>
                </c:pt>
                <c:pt idx="39">
                  <c:v>9.1</c:v>
                </c:pt>
                <c:pt idx="40">
                  <c:v>12.4</c:v>
                </c:pt>
                <c:pt idx="41">
                  <c:v>14.9</c:v>
                </c:pt>
                <c:pt idx="42">
                  <c:v>6.8</c:v>
                </c:pt>
                <c:pt idx="43">
                  <c:v>10.9</c:v>
                </c:pt>
                <c:pt idx="44">
                  <c:v>9.3000000000000007</c:v>
                </c:pt>
                <c:pt idx="45">
                  <c:v>13.2</c:v>
                </c:pt>
                <c:pt idx="46">
                  <c:v>10.6</c:v>
                </c:pt>
                <c:pt idx="47">
                  <c:v>8.3000000000000007</c:v>
                </c:pt>
                <c:pt idx="48">
                  <c:v>15.8</c:v>
                </c:pt>
                <c:pt idx="49">
                  <c:v>5.0999999999999996</c:v>
                </c:pt>
                <c:pt idx="50">
                  <c:v>17.5</c:v>
                </c:pt>
                <c:pt idx="51">
                  <c:v>9.1999999999999993</c:v>
                </c:pt>
                <c:pt idx="52">
                  <c:v>4.3</c:v>
                </c:pt>
                <c:pt idx="53">
                  <c:v>7.6</c:v>
                </c:pt>
                <c:pt idx="54">
                  <c:v>6.2</c:v>
                </c:pt>
                <c:pt idx="55">
                  <c:v>11.8</c:v>
                </c:pt>
                <c:pt idx="56">
                  <c:v>12.7</c:v>
                </c:pt>
                <c:pt idx="57">
                  <c:v>5.4</c:v>
                </c:pt>
                <c:pt idx="58">
                  <c:v>8.9</c:v>
                </c:pt>
                <c:pt idx="59">
                  <c:v>6.5</c:v>
                </c:pt>
              </c:numCache>
            </c:numRef>
          </c:yVal>
          <c:smooth val="0"/>
        </c:ser>
        <c:ser>
          <c:idx val="1"/>
          <c:order val="1"/>
          <c:spPr>
            <a:ln w="28575">
              <a:noFill/>
            </a:ln>
          </c:spPr>
          <c:xVal>
            <c:strRef>
              <c:f>Dashboard!$H$2:$H$61</c:f>
              <c:strCache>
                <c:ptCount val="60"/>
                <c:pt idx="0">
                  <c:v>Neel Verma</c:v>
                </c:pt>
                <c:pt idx="1">
                  <c:v>Hemant Luniya</c:v>
                </c:pt>
                <c:pt idx="2">
                  <c:v>Varun Jaitley</c:v>
                </c:pt>
                <c:pt idx="3">
                  <c:v>Yuvraj Mahadik</c:v>
                </c:pt>
                <c:pt idx="4">
                  <c:v>Saurabh Pathak</c:v>
                </c:pt>
                <c:pt idx="5">
                  <c:v>Mohit Deshpande</c:v>
                </c:pt>
                <c:pt idx="6">
                  <c:v>Tarun Sethi</c:v>
                </c:pt>
                <c:pt idx="7">
                  <c:v>Rahul Divate</c:v>
                </c:pt>
                <c:pt idx="8">
                  <c:v>Siddharth Kaulkar</c:v>
                </c:pt>
                <c:pt idx="9">
                  <c:v>Gagan Trivedi</c:v>
                </c:pt>
                <c:pt idx="10">
                  <c:v>Keshav Rawat</c:v>
                </c:pt>
                <c:pt idx="11">
                  <c:v>Arjun Bhalerao</c:v>
                </c:pt>
                <c:pt idx="12">
                  <c:v>Arpit Bansal</c:v>
                </c:pt>
                <c:pt idx="13">
                  <c:v>Ritwik Sahaal</c:v>
                </c:pt>
                <c:pt idx="14">
                  <c:v>Laksh Nayak</c:v>
                </c:pt>
                <c:pt idx="15">
                  <c:v>Parth Keni</c:v>
                </c:pt>
                <c:pt idx="16">
                  <c:v>Soham Borkar</c:v>
                </c:pt>
                <c:pt idx="17">
                  <c:v>Prerit Anand</c:v>
                </c:pt>
                <c:pt idx="18">
                  <c:v>Dhruv Menon</c:v>
                </c:pt>
                <c:pt idx="19">
                  <c:v>Manav Reddy</c:v>
                </c:pt>
                <c:pt idx="20">
                  <c:v>Yatin Choudhary</c:v>
                </c:pt>
                <c:pt idx="21">
                  <c:v>Amitesh Pillai</c:v>
                </c:pt>
                <c:pt idx="22">
                  <c:v>Samarjeet Gill</c:v>
                </c:pt>
                <c:pt idx="23">
                  <c:v>Nirav Doshi</c:v>
                </c:pt>
                <c:pt idx="24">
                  <c:v>Harit Shah</c:v>
                </c:pt>
                <c:pt idx="25">
                  <c:v>Rohan Mankad</c:v>
                </c:pt>
                <c:pt idx="26">
                  <c:v>Siddhant Gokhale</c:v>
                </c:pt>
                <c:pt idx="27">
                  <c:v>Vikram Khurana</c:v>
                </c:pt>
                <c:pt idx="28">
                  <c:v>Kartik Iyer</c:v>
                </c:pt>
                <c:pt idx="29">
                  <c:v>Harsh Daga</c:v>
                </c:pt>
                <c:pt idx="30">
                  <c:v>Jayant Pande</c:v>
                </c:pt>
                <c:pt idx="31">
                  <c:v>Harshil Mehta</c:v>
                </c:pt>
                <c:pt idx="32">
                  <c:v>Manan Kapoor</c:v>
                </c:pt>
                <c:pt idx="33">
                  <c:v>Vedant Kulkarni</c:v>
                </c:pt>
                <c:pt idx="34">
                  <c:v>Kunal Purohit</c:v>
                </c:pt>
                <c:pt idx="35">
                  <c:v>Samar Khatri</c:v>
                </c:pt>
                <c:pt idx="36">
                  <c:v>Rohit Tamhane</c:v>
                </c:pt>
                <c:pt idx="37">
                  <c:v>Keshin Parekh</c:v>
                </c:pt>
                <c:pt idx="38">
                  <c:v>Tanish Roy</c:v>
                </c:pt>
                <c:pt idx="39">
                  <c:v>Uday Patwardhan</c:v>
                </c:pt>
                <c:pt idx="40">
                  <c:v>Pratham Goyal</c:v>
                </c:pt>
                <c:pt idx="41">
                  <c:v>Rishan Bedi</c:v>
                </c:pt>
                <c:pt idx="42">
                  <c:v>Aditya Solanki</c:v>
                </c:pt>
                <c:pt idx="43">
                  <c:v>Karan Bhise</c:v>
                </c:pt>
                <c:pt idx="44">
                  <c:v>Piyush Kakkar</c:v>
                </c:pt>
                <c:pt idx="45">
                  <c:v>Nikhil Arora</c:v>
                </c:pt>
                <c:pt idx="46">
                  <c:v>Lakshay Oberoi</c:v>
                </c:pt>
                <c:pt idx="47">
                  <c:v>Ishaan Dhamija</c:v>
                </c:pt>
                <c:pt idx="48">
                  <c:v>Tejas Panchal</c:v>
                </c:pt>
                <c:pt idx="49">
                  <c:v>Dev Malhotra</c:v>
                </c:pt>
                <c:pt idx="50">
                  <c:v>Anuj Dhingra</c:v>
                </c:pt>
                <c:pt idx="51">
                  <c:v>Aarav Shekhawat</c:v>
                </c:pt>
                <c:pt idx="52">
                  <c:v>Vivek Shetty</c:v>
                </c:pt>
                <c:pt idx="53">
                  <c:v>Pranav Wagh</c:v>
                </c:pt>
                <c:pt idx="54">
                  <c:v>Ritesh Walia</c:v>
                </c:pt>
                <c:pt idx="55">
                  <c:v>Darshil Vora</c:v>
                </c:pt>
                <c:pt idx="56">
                  <c:v>Rajat Talwar</c:v>
                </c:pt>
                <c:pt idx="57">
                  <c:v>Yash Vartak</c:v>
                </c:pt>
                <c:pt idx="58">
                  <c:v>Saket Bafna</c:v>
                </c:pt>
                <c:pt idx="59">
                  <c:v>Naman Luthra</c:v>
                </c:pt>
              </c:strCache>
            </c:strRef>
          </c:xVal>
          <c:yVal>
            <c:numRef>
              <c:f>Dashboard!$J$2:$J$61</c:f>
              <c:numCache>
                <c:formatCode>0.00</c:formatCode>
                <c:ptCount val="60"/>
                <c:pt idx="0">
                  <c:v>8.8432791508103907</c:v>
                </c:pt>
                <c:pt idx="1">
                  <c:v>9.1178810721803565</c:v>
                </c:pt>
                <c:pt idx="2">
                  <c:v>9.3061289586867098</c:v>
                </c:pt>
                <c:pt idx="3">
                  <c:v>9.3429173956970075</c:v>
                </c:pt>
                <c:pt idx="4">
                  <c:v>9.1503376043366256</c:v>
                </c:pt>
                <c:pt idx="5">
                  <c:v>9.3061289586867098</c:v>
                </c:pt>
                <c:pt idx="6">
                  <c:v>9.6336785134952798</c:v>
                </c:pt>
                <c:pt idx="7">
                  <c:v>9.4205682818609855</c:v>
                </c:pt>
                <c:pt idx="8">
                  <c:v>9.6095939874064147</c:v>
                </c:pt>
                <c:pt idx="9">
                  <c:v>9.7219866102370798</c:v>
                </c:pt>
                <c:pt idx="10">
                  <c:v>9.8167234245716237</c:v>
                </c:pt>
                <c:pt idx="11">
                  <c:v>9.5966287790521747</c:v>
                </c:pt>
                <c:pt idx="12">
                  <c:v>3.7551441153259884</c:v>
                </c:pt>
                <c:pt idx="13">
                  <c:v>9.1531757170931236</c:v>
                </c:pt>
                <c:pt idx="14">
                  <c:v>9.4410094633452548</c:v>
                </c:pt>
                <c:pt idx="15">
                  <c:v>9.3607383501616663</c:v>
                </c:pt>
                <c:pt idx="16">
                  <c:v>3.584127149034158</c:v>
                </c:pt>
                <c:pt idx="17">
                  <c:v>3.6852174192921088</c:v>
                </c:pt>
                <c:pt idx="18">
                  <c:v>3.8254112263683746</c:v>
                </c:pt>
                <c:pt idx="19">
                  <c:v>3.8027759053376782</c:v>
                </c:pt>
                <c:pt idx="20">
                  <c:v>3.8495683666583496</c:v>
                </c:pt>
                <c:pt idx="21">
                  <c:v>3.7980468156347444</c:v>
                </c:pt>
                <c:pt idx="22">
                  <c:v>3.7558658431091638</c:v>
                </c:pt>
                <c:pt idx="23">
                  <c:v>3.7802520727426483</c:v>
                </c:pt>
                <c:pt idx="24">
                  <c:v>3.837063662095102</c:v>
                </c:pt>
                <c:pt idx="25">
                  <c:v>3.8015510672515536</c:v>
                </c:pt>
                <c:pt idx="26">
                  <c:v>3.9452042429289049</c:v>
                </c:pt>
                <c:pt idx="27">
                  <c:v>3.923273155036028</c:v>
                </c:pt>
                <c:pt idx="28">
                  <c:v>3.9689447996282659</c:v>
                </c:pt>
                <c:pt idx="29">
                  <c:v>1.0232050022251229</c:v>
                </c:pt>
                <c:pt idx="30">
                  <c:v>3.9345435579598846</c:v>
                </c:pt>
                <c:pt idx="31">
                  <c:v>1.0994704724418736</c:v>
                </c:pt>
                <c:pt idx="32">
                  <c:v>1.2196454829813344</c:v>
                </c:pt>
                <c:pt idx="33">
                  <c:v>1.0512431702641707</c:v>
                </c:pt>
                <c:pt idx="34">
                  <c:v>1.2134467752705156</c:v>
                </c:pt>
                <c:pt idx="35">
                  <c:v>1.1310801353878976</c:v>
                </c:pt>
                <c:pt idx="36">
                  <c:v>0.98327676233067107</c:v>
                </c:pt>
                <c:pt idx="37">
                  <c:v>0.99675823628211746</c:v>
                </c:pt>
                <c:pt idx="38">
                  <c:v>1.1579698428627307</c:v>
                </c:pt>
                <c:pt idx="39">
                  <c:v>1.0184404022396851</c:v>
                </c:pt>
                <c:pt idx="40">
                  <c:v>0.98477305707036644</c:v>
                </c:pt>
                <c:pt idx="41">
                  <c:v>1.2558714763050882</c:v>
                </c:pt>
                <c:pt idx="42">
                  <c:v>1.1685663950216791</c:v>
                </c:pt>
                <c:pt idx="43">
                  <c:v>1.0112478395310232</c:v>
                </c:pt>
                <c:pt idx="44">
                  <c:v>1.0975585920349662</c:v>
                </c:pt>
                <c:pt idx="45">
                  <c:v>1.1987355386186029</c:v>
                </c:pt>
                <c:pt idx="46">
                  <c:v>1.0772721454106104</c:v>
                </c:pt>
                <c:pt idx="47">
                  <c:v>1.2518943385166383</c:v>
                </c:pt>
                <c:pt idx="48">
                  <c:v>1.0435063665776805</c:v>
                </c:pt>
                <c:pt idx="49">
                  <c:v>1.3603784152107892</c:v>
                </c:pt>
                <c:pt idx="50">
                  <c:v>1.1679509602545206</c:v>
                </c:pt>
                <c:pt idx="51">
                  <c:v>1.3527342896944927</c:v>
                </c:pt>
                <c:pt idx="52">
                  <c:v>1.0822315056758762</c:v>
                </c:pt>
                <c:pt idx="53">
                  <c:v>1.2678615018963195</c:v>
                </c:pt>
                <c:pt idx="54">
                  <c:v>1.1729732739679579</c:v>
                </c:pt>
                <c:pt idx="55">
                  <c:v>1.081586554463184</c:v>
                </c:pt>
                <c:pt idx="56">
                  <c:v>1.2221069054432523</c:v>
                </c:pt>
                <c:pt idx="57">
                  <c:v>1.3279097077353814</c:v>
                </c:pt>
                <c:pt idx="58">
                  <c:v>1.1546017774672683</c:v>
                </c:pt>
                <c:pt idx="59">
                  <c:v>1.1286218859409196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98560"/>
        <c:axId val="150897024"/>
      </c:scatterChart>
      <c:valAx>
        <c:axId val="150898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en-IN" sz="1100"/>
                  <a:t>Auction</a:t>
                </a:r>
                <a:r>
                  <a:rPr lang="en-IN" sz="1100" baseline="0"/>
                  <a:t> price cr.</a:t>
                </a:r>
                <a:endParaRPr lang="en-IN" sz="1100"/>
              </a:p>
            </c:rich>
          </c:tx>
          <c:layout/>
          <c:overlay val="0"/>
        </c:title>
        <c:majorTickMark val="out"/>
        <c:minorTickMark val="none"/>
        <c:tickLblPos val="nextTo"/>
        <c:crossAx val="150897024"/>
        <c:crosses val="autoZero"/>
        <c:crossBetween val="midCat"/>
      </c:valAx>
      <c:valAx>
        <c:axId val="150897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1"/>
                </a:pPr>
                <a:r>
                  <a:rPr lang="en-IN" sz="1400" b="1"/>
                  <a:t>Impact score</a:t>
                </a:r>
              </a:p>
            </c:rich>
          </c:tx>
          <c:layout>
            <c:manualLayout>
              <c:xMode val="edge"/>
              <c:yMode val="edge"/>
              <c:x val="5.6107231767652144E-2"/>
              <c:y val="0.4007953653929354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508985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5</xdr:row>
      <xdr:rowOff>114300</xdr:rowOff>
    </xdr:from>
    <xdr:to>
      <xdr:col>4</xdr:col>
      <xdr:colOff>514350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86591</xdr:colOff>
      <xdr:row>18</xdr:row>
      <xdr:rowOff>142008</xdr:rowOff>
    </xdr:from>
    <xdr:to>
      <xdr:col>4</xdr:col>
      <xdr:colOff>762000</xdr:colOff>
      <xdr:row>37</xdr:row>
      <xdr:rowOff>51955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cricket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activeCell="R9" sqref="R9"/>
    </sheetView>
  </sheetViews>
  <sheetFormatPr defaultRowHeight="15" x14ac:dyDescent="0.25"/>
  <cols>
    <col min="2" max="2" width="16.85546875" bestFit="1" customWidth="1"/>
    <col min="3" max="3" width="13.5703125" bestFit="1" customWidth="1"/>
    <col min="4" max="4" width="8.42578125" bestFit="1" customWidth="1"/>
    <col min="5" max="5" width="5.28515625" bestFit="1" customWidth="1"/>
    <col min="6" max="6" width="11.28515625" bestFit="1" customWidth="1"/>
    <col min="7" max="7" width="4.85546875" bestFit="1" customWidth="1"/>
    <col min="8" max="8" width="3.85546875" bestFit="1" customWidth="1"/>
    <col min="9" max="9" width="8" bestFit="1" customWidth="1"/>
    <col min="10" max="10" width="14" bestFit="1" customWidth="1"/>
    <col min="11" max="11" width="15.28515625" bestFit="1" customWidth="1"/>
    <col min="12" max="12" width="7.85546875" bestFit="1" customWidth="1"/>
    <col min="13" max="13" width="10.28515625" bestFit="1" customWidth="1"/>
    <col min="14" max="14" width="16.28515625" bestFit="1" customWidth="1"/>
  </cols>
  <sheetData>
    <row r="1" spans="1:14" x14ac:dyDescent="0.25">
      <c r="A1" t="s">
        <v>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tr">
        <f>"P"&amp;TEXT(ROW()-1,"000")</f>
        <v>P001</v>
      </c>
      <c r="B2" t="s">
        <v>13</v>
      </c>
      <c r="C2" t="s">
        <v>14</v>
      </c>
      <c r="D2">
        <v>12</v>
      </c>
      <c r="E2">
        <v>512</v>
      </c>
      <c r="F2">
        <v>378</v>
      </c>
      <c r="G2">
        <v>1</v>
      </c>
      <c r="H2">
        <v>4</v>
      </c>
      <c r="I2">
        <v>1</v>
      </c>
      <c r="J2">
        <v>2</v>
      </c>
      <c r="K2">
        <v>18</v>
      </c>
      <c r="L2">
        <v>8</v>
      </c>
      <c r="M2">
        <v>0</v>
      </c>
      <c r="N2">
        <v>14.5</v>
      </c>
    </row>
    <row r="3" spans="1:14" x14ac:dyDescent="0.25">
      <c r="A3" t="str">
        <f t="shared" ref="A3:A61" si="0">"P"&amp;TEXT(ROW()-1,"000")</f>
        <v>P002</v>
      </c>
      <c r="B3" t="s">
        <v>15</v>
      </c>
      <c r="C3" t="s">
        <v>14</v>
      </c>
      <c r="D3">
        <v>11</v>
      </c>
      <c r="E3">
        <v>468</v>
      </c>
      <c r="F3">
        <v>340</v>
      </c>
      <c r="G3">
        <v>0</v>
      </c>
      <c r="H3">
        <v>4</v>
      </c>
      <c r="I3">
        <v>0</v>
      </c>
      <c r="J3">
        <v>1</v>
      </c>
      <c r="K3">
        <v>12</v>
      </c>
      <c r="L3">
        <v>7</v>
      </c>
      <c r="M3">
        <v>0</v>
      </c>
      <c r="N3">
        <v>12.2</v>
      </c>
    </row>
    <row r="4" spans="1:14" x14ac:dyDescent="0.25">
      <c r="A4" t="str">
        <f t="shared" si="0"/>
        <v>P003</v>
      </c>
      <c r="B4" t="s">
        <v>16</v>
      </c>
      <c r="C4" t="s">
        <v>14</v>
      </c>
      <c r="D4">
        <v>10</v>
      </c>
      <c r="E4">
        <v>355</v>
      </c>
      <c r="F4">
        <v>250</v>
      </c>
      <c r="G4">
        <v>0</v>
      </c>
      <c r="H4">
        <v>3</v>
      </c>
      <c r="I4">
        <v>0</v>
      </c>
      <c r="J4">
        <v>0</v>
      </c>
      <c r="K4">
        <v>0</v>
      </c>
      <c r="L4">
        <v>6</v>
      </c>
      <c r="M4">
        <v>0</v>
      </c>
      <c r="N4">
        <v>8.5</v>
      </c>
    </row>
    <row r="5" spans="1:14" x14ac:dyDescent="0.25">
      <c r="A5" t="str">
        <f t="shared" si="0"/>
        <v>P004</v>
      </c>
      <c r="B5" t="s">
        <v>17</v>
      </c>
      <c r="C5" t="s">
        <v>14</v>
      </c>
      <c r="D5">
        <v>9</v>
      </c>
      <c r="E5">
        <v>298</v>
      </c>
      <c r="F5">
        <v>210</v>
      </c>
      <c r="G5">
        <v>0</v>
      </c>
      <c r="H5">
        <v>2</v>
      </c>
      <c r="I5">
        <v>0</v>
      </c>
      <c r="J5">
        <v>0</v>
      </c>
      <c r="K5">
        <v>0</v>
      </c>
      <c r="L5">
        <v>5</v>
      </c>
      <c r="M5">
        <v>0</v>
      </c>
      <c r="N5">
        <v>6.2</v>
      </c>
    </row>
    <row r="6" spans="1:14" x14ac:dyDescent="0.25">
      <c r="A6" t="str">
        <f t="shared" si="0"/>
        <v>P005</v>
      </c>
      <c r="B6" t="s">
        <v>18</v>
      </c>
      <c r="C6" t="s">
        <v>14</v>
      </c>
      <c r="D6">
        <v>13</v>
      </c>
      <c r="E6">
        <v>540</v>
      </c>
      <c r="F6">
        <v>402</v>
      </c>
      <c r="G6">
        <v>1</v>
      </c>
      <c r="H6">
        <v>5</v>
      </c>
      <c r="I6">
        <v>2</v>
      </c>
      <c r="J6">
        <v>3</v>
      </c>
      <c r="K6">
        <v>25</v>
      </c>
      <c r="L6">
        <v>10</v>
      </c>
      <c r="M6">
        <v>0</v>
      </c>
      <c r="N6">
        <v>17.3</v>
      </c>
    </row>
    <row r="7" spans="1:14" x14ac:dyDescent="0.25">
      <c r="A7" t="str">
        <f t="shared" si="0"/>
        <v>P006</v>
      </c>
      <c r="B7" t="s">
        <v>19</v>
      </c>
      <c r="C7" t="s">
        <v>14</v>
      </c>
      <c r="D7">
        <v>8</v>
      </c>
      <c r="E7">
        <v>265</v>
      </c>
      <c r="F7">
        <v>185</v>
      </c>
      <c r="G7">
        <v>0</v>
      </c>
      <c r="H7">
        <v>2</v>
      </c>
      <c r="I7">
        <v>0</v>
      </c>
      <c r="J7">
        <v>0</v>
      </c>
      <c r="K7">
        <v>0</v>
      </c>
      <c r="L7">
        <v>4</v>
      </c>
      <c r="M7">
        <v>0</v>
      </c>
      <c r="N7">
        <v>5.5</v>
      </c>
    </row>
    <row r="8" spans="1:14" x14ac:dyDescent="0.25">
      <c r="A8" t="str">
        <f t="shared" si="0"/>
        <v>P007</v>
      </c>
      <c r="B8" t="s">
        <v>20</v>
      </c>
      <c r="C8" t="s">
        <v>14</v>
      </c>
      <c r="D8">
        <v>14</v>
      </c>
      <c r="E8">
        <v>525</v>
      </c>
      <c r="F8">
        <v>415</v>
      </c>
      <c r="G8">
        <v>1</v>
      </c>
      <c r="H8">
        <v>4</v>
      </c>
      <c r="I8">
        <v>1</v>
      </c>
      <c r="J8">
        <v>2</v>
      </c>
      <c r="K8">
        <v>20</v>
      </c>
      <c r="L8">
        <v>9</v>
      </c>
      <c r="M8">
        <v>0</v>
      </c>
      <c r="N8">
        <v>15.6</v>
      </c>
    </row>
    <row r="9" spans="1:14" x14ac:dyDescent="0.25">
      <c r="A9" t="str">
        <f t="shared" si="0"/>
        <v>P008</v>
      </c>
      <c r="B9" t="s">
        <v>21</v>
      </c>
      <c r="C9" t="s">
        <v>14</v>
      </c>
      <c r="D9">
        <v>12</v>
      </c>
      <c r="E9">
        <v>410</v>
      </c>
      <c r="F9">
        <v>305</v>
      </c>
      <c r="G9">
        <v>0</v>
      </c>
      <c r="H9">
        <v>3</v>
      </c>
      <c r="I9">
        <v>0</v>
      </c>
      <c r="J9">
        <v>0</v>
      </c>
      <c r="K9">
        <v>0</v>
      </c>
      <c r="L9">
        <v>6</v>
      </c>
      <c r="M9">
        <v>0</v>
      </c>
      <c r="N9">
        <v>9.1999999999999993</v>
      </c>
    </row>
    <row r="10" spans="1:14" x14ac:dyDescent="0.25">
      <c r="A10" t="str">
        <f t="shared" si="0"/>
        <v>P009</v>
      </c>
      <c r="B10" t="s">
        <v>22</v>
      </c>
      <c r="C10" t="s">
        <v>14</v>
      </c>
      <c r="D10">
        <v>10</v>
      </c>
      <c r="E10">
        <v>280</v>
      </c>
      <c r="F10">
        <v>195</v>
      </c>
      <c r="G10">
        <v>0</v>
      </c>
      <c r="H10">
        <v>2</v>
      </c>
      <c r="I10">
        <v>0</v>
      </c>
      <c r="J10">
        <v>0</v>
      </c>
      <c r="K10">
        <v>0</v>
      </c>
      <c r="L10">
        <v>5</v>
      </c>
      <c r="M10">
        <v>0</v>
      </c>
      <c r="N10">
        <v>5.8</v>
      </c>
    </row>
    <row r="11" spans="1:14" x14ac:dyDescent="0.25">
      <c r="A11" t="str">
        <f t="shared" si="0"/>
        <v>P010</v>
      </c>
      <c r="B11" t="s">
        <v>23</v>
      </c>
      <c r="C11" t="s">
        <v>14</v>
      </c>
      <c r="D11">
        <v>11</v>
      </c>
      <c r="E11">
        <v>360</v>
      </c>
      <c r="F11">
        <v>270</v>
      </c>
      <c r="G11">
        <v>0</v>
      </c>
      <c r="H11">
        <v>3</v>
      </c>
      <c r="I11">
        <v>1</v>
      </c>
      <c r="J11">
        <v>1</v>
      </c>
      <c r="K11">
        <v>15</v>
      </c>
      <c r="L11">
        <v>7</v>
      </c>
      <c r="M11">
        <v>0</v>
      </c>
      <c r="N11">
        <v>8.6999999999999993</v>
      </c>
    </row>
    <row r="12" spans="1:14" x14ac:dyDescent="0.25">
      <c r="A12" t="str">
        <f t="shared" si="0"/>
        <v>P011</v>
      </c>
      <c r="B12" t="s">
        <v>24</v>
      </c>
      <c r="C12" t="s">
        <v>14</v>
      </c>
      <c r="D12">
        <v>9</v>
      </c>
      <c r="E12">
        <v>250</v>
      </c>
      <c r="F12">
        <v>182</v>
      </c>
      <c r="G12">
        <v>0</v>
      </c>
      <c r="H12">
        <v>2</v>
      </c>
      <c r="I12">
        <v>0</v>
      </c>
      <c r="J12">
        <v>0</v>
      </c>
      <c r="K12">
        <v>0</v>
      </c>
      <c r="L12">
        <v>3</v>
      </c>
      <c r="M12">
        <v>0</v>
      </c>
      <c r="N12">
        <v>4.8</v>
      </c>
    </row>
    <row r="13" spans="1:14" x14ac:dyDescent="0.25">
      <c r="A13" t="str">
        <f t="shared" si="0"/>
        <v>P012</v>
      </c>
      <c r="B13" t="s">
        <v>25</v>
      </c>
      <c r="C13" t="s">
        <v>14</v>
      </c>
      <c r="D13">
        <v>13</v>
      </c>
      <c r="E13">
        <v>495</v>
      </c>
      <c r="F13">
        <v>368</v>
      </c>
      <c r="G13">
        <v>1</v>
      </c>
      <c r="H13">
        <v>4</v>
      </c>
      <c r="I13">
        <v>2</v>
      </c>
      <c r="J13">
        <v>3</v>
      </c>
      <c r="K13">
        <v>28</v>
      </c>
      <c r="L13">
        <v>9</v>
      </c>
      <c r="M13">
        <v>0</v>
      </c>
      <c r="N13">
        <v>13.9</v>
      </c>
    </row>
    <row r="14" spans="1:14" x14ac:dyDescent="0.25">
      <c r="A14" t="str">
        <f t="shared" si="0"/>
        <v>P013</v>
      </c>
      <c r="B14" t="s">
        <v>26</v>
      </c>
      <c r="C14" t="s">
        <v>14</v>
      </c>
      <c r="D14">
        <v>12</v>
      </c>
      <c r="E14">
        <v>445</v>
      </c>
      <c r="F14">
        <v>330</v>
      </c>
      <c r="G14">
        <v>0</v>
      </c>
      <c r="H14">
        <v>4</v>
      </c>
      <c r="I14">
        <v>0</v>
      </c>
      <c r="J14">
        <v>0</v>
      </c>
      <c r="K14">
        <v>0</v>
      </c>
      <c r="L14">
        <v>6</v>
      </c>
      <c r="M14">
        <v>0</v>
      </c>
      <c r="N14">
        <v>10.5</v>
      </c>
    </row>
    <row r="15" spans="1:14" x14ac:dyDescent="0.25">
      <c r="A15" t="str">
        <f t="shared" si="0"/>
        <v>P014</v>
      </c>
      <c r="B15" t="s">
        <v>27</v>
      </c>
      <c r="C15" t="s">
        <v>14</v>
      </c>
      <c r="D15">
        <v>10</v>
      </c>
      <c r="E15">
        <v>310</v>
      </c>
      <c r="F15">
        <v>225</v>
      </c>
      <c r="G15">
        <v>0</v>
      </c>
      <c r="H15">
        <v>2</v>
      </c>
      <c r="I15">
        <v>0</v>
      </c>
      <c r="J15">
        <v>0</v>
      </c>
      <c r="K15">
        <v>0</v>
      </c>
      <c r="L15">
        <v>5</v>
      </c>
      <c r="M15">
        <v>0</v>
      </c>
      <c r="N15">
        <v>6.5</v>
      </c>
    </row>
    <row r="16" spans="1:14" x14ac:dyDescent="0.25">
      <c r="A16" t="str">
        <f t="shared" si="0"/>
        <v>P015</v>
      </c>
      <c r="B16" t="s">
        <v>28</v>
      </c>
      <c r="C16" t="s">
        <v>14</v>
      </c>
      <c r="D16">
        <v>11</v>
      </c>
      <c r="E16">
        <v>275</v>
      </c>
      <c r="F16">
        <v>200</v>
      </c>
      <c r="G16">
        <v>0</v>
      </c>
      <c r="H16">
        <v>2</v>
      </c>
      <c r="I16">
        <v>0</v>
      </c>
      <c r="J16">
        <v>0</v>
      </c>
      <c r="K16">
        <v>0</v>
      </c>
      <c r="L16">
        <v>4</v>
      </c>
      <c r="M16">
        <v>0</v>
      </c>
      <c r="N16">
        <v>5.2</v>
      </c>
    </row>
    <row r="17" spans="1:14" x14ac:dyDescent="0.25">
      <c r="A17" t="str">
        <f t="shared" si="0"/>
        <v>P016</v>
      </c>
      <c r="B17" t="s">
        <v>29</v>
      </c>
      <c r="C17" t="s">
        <v>30</v>
      </c>
      <c r="D17">
        <v>12</v>
      </c>
      <c r="E17">
        <v>85</v>
      </c>
      <c r="F17">
        <v>60</v>
      </c>
      <c r="G17">
        <v>0</v>
      </c>
      <c r="H17">
        <v>0</v>
      </c>
      <c r="I17">
        <v>18</v>
      </c>
      <c r="J17">
        <v>48</v>
      </c>
      <c r="K17">
        <v>390</v>
      </c>
      <c r="L17">
        <v>6</v>
      </c>
      <c r="M17">
        <v>0</v>
      </c>
      <c r="N17">
        <v>11.8</v>
      </c>
    </row>
    <row r="18" spans="1:14" x14ac:dyDescent="0.25">
      <c r="A18" t="str">
        <f t="shared" si="0"/>
        <v>P017</v>
      </c>
      <c r="B18" t="s">
        <v>31</v>
      </c>
      <c r="C18" t="s">
        <v>30</v>
      </c>
      <c r="D18">
        <v>11</v>
      </c>
      <c r="E18">
        <v>70</v>
      </c>
      <c r="F18">
        <v>50</v>
      </c>
      <c r="G18">
        <v>0</v>
      </c>
      <c r="H18">
        <v>0</v>
      </c>
      <c r="I18">
        <v>15</v>
      </c>
      <c r="J18">
        <v>42</v>
      </c>
      <c r="K18">
        <v>340</v>
      </c>
      <c r="L18">
        <v>5</v>
      </c>
      <c r="M18">
        <v>0</v>
      </c>
      <c r="N18">
        <v>9.6999999999999993</v>
      </c>
    </row>
    <row r="19" spans="1:14" x14ac:dyDescent="0.25">
      <c r="A19" t="str">
        <f t="shared" si="0"/>
        <v>P018</v>
      </c>
      <c r="B19" t="s">
        <v>32</v>
      </c>
      <c r="C19" t="s">
        <v>30</v>
      </c>
      <c r="D19">
        <v>10</v>
      </c>
      <c r="E19">
        <v>45</v>
      </c>
      <c r="F19">
        <v>30</v>
      </c>
      <c r="G19">
        <v>0</v>
      </c>
      <c r="H19">
        <v>0</v>
      </c>
      <c r="I19">
        <v>12</v>
      </c>
      <c r="J19">
        <v>36</v>
      </c>
      <c r="K19">
        <v>300</v>
      </c>
      <c r="L19">
        <v>4</v>
      </c>
      <c r="M19">
        <v>0</v>
      </c>
      <c r="N19">
        <v>7.5</v>
      </c>
    </row>
    <row r="20" spans="1:14" x14ac:dyDescent="0.25">
      <c r="A20" t="str">
        <f t="shared" si="0"/>
        <v>P019</v>
      </c>
      <c r="B20" t="s">
        <v>33</v>
      </c>
      <c r="C20" t="s">
        <v>30</v>
      </c>
      <c r="D20">
        <v>13</v>
      </c>
      <c r="E20">
        <v>110</v>
      </c>
      <c r="F20">
        <v>75</v>
      </c>
      <c r="G20">
        <v>0</v>
      </c>
      <c r="H20">
        <v>0</v>
      </c>
      <c r="I20">
        <v>20</v>
      </c>
      <c r="J20">
        <v>52</v>
      </c>
      <c r="K20">
        <v>430</v>
      </c>
      <c r="L20">
        <v>8</v>
      </c>
      <c r="M20">
        <v>0</v>
      </c>
      <c r="N20">
        <v>14.2</v>
      </c>
    </row>
    <row r="21" spans="1:14" x14ac:dyDescent="0.25">
      <c r="A21" t="str">
        <f t="shared" si="0"/>
        <v>P020</v>
      </c>
      <c r="B21" t="s">
        <v>34</v>
      </c>
      <c r="C21" t="s">
        <v>30</v>
      </c>
      <c r="D21">
        <v>9</v>
      </c>
      <c r="E21">
        <v>40</v>
      </c>
      <c r="F21">
        <v>28</v>
      </c>
      <c r="G21">
        <v>0</v>
      </c>
      <c r="H21">
        <v>0</v>
      </c>
      <c r="I21">
        <v>10</v>
      </c>
      <c r="J21">
        <v>30</v>
      </c>
      <c r="K21">
        <v>250</v>
      </c>
      <c r="L21">
        <v>3</v>
      </c>
      <c r="M21">
        <v>0</v>
      </c>
      <c r="N21">
        <v>6.2</v>
      </c>
    </row>
    <row r="22" spans="1:14" x14ac:dyDescent="0.25">
      <c r="A22" t="str">
        <f t="shared" si="0"/>
        <v>P021</v>
      </c>
      <c r="B22" t="s">
        <v>35</v>
      </c>
      <c r="C22" t="s">
        <v>30</v>
      </c>
      <c r="D22">
        <v>14</v>
      </c>
      <c r="E22">
        <v>95</v>
      </c>
      <c r="F22">
        <v>70</v>
      </c>
      <c r="G22">
        <v>0</v>
      </c>
      <c r="H22">
        <v>0</v>
      </c>
      <c r="I22">
        <v>22</v>
      </c>
      <c r="J22">
        <v>50</v>
      </c>
      <c r="K22">
        <v>420</v>
      </c>
      <c r="L22">
        <v>7</v>
      </c>
      <c r="M22">
        <v>0</v>
      </c>
      <c r="N22">
        <v>15.5</v>
      </c>
    </row>
    <row r="23" spans="1:14" x14ac:dyDescent="0.25">
      <c r="A23" t="str">
        <f t="shared" si="0"/>
        <v>P022</v>
      </c>
      <c r="B23" t="s">
        <v>36</v>
      </c>
      <c r="C23" t="s">
        <v>30</v>
      </c>
      <c r="D23">
        <v>12</v>
      </c>
      <c r="E23">
        <v>60</v>
      </c>
      <c r="F23">
        <v>45</v>
      </c>
      <c r="G23">
        <v>0</v>
      </c>
      <c r="H23">
        <v>0</v>
      </c>
      <c r="I23">
        <v>14</v>
      </c>
      <c r="J23">
        <v>40</v>
      </c>
      <c r="K23">
        <v>330</v>
      </c>
      <c r="L23">
        <v>5</v>
      </c>
      <c r="M23">
        <v>0</v>
      </c>
      <c r="N23">
        <v>8.9</v>
      </c>
    </row>
    <row r="24" spans="1:14" x14ac:dyDescent="0.25">
      <c r="A24" t="str">
        <f t="shared" si="0"/>
        <v>P023</v>
      </c>
      <c r="B24" t="s">
        <v>37</v>
      </c>
      <c r="C24" t="s">
        <v>30</v>
      </c>
      <c r="D24">
        <v>8</v>
      </c>
      <c r="E24">
        <v>25</v>
      </c>
      <c r="F24">
        <v>20</v>
      </c>
      <c r="G24">
        <v>0</v>
      </c>
      <c r="H24">
        <v>0</v>
      </c>
      <c r="I24">
        <v>9</v>
      </c>
      <c r="J24">
        <v>25</v>
      </c>
      <c r="K24">
        <v>220</v>
      </c>
      <c r="L24">
        <v>2</v>
      </c>
      <c r="M24">
        <v>0</v>
      </c>
      <c r="N24">
        <v>4.5</v>
      </c>
    </row>
    <row r="25" spans="1:14" x14ac:dyDescent="0.25">
      <c r="A25" t="str">
        <f t="shared" si="0"/>
        <v>P024</v>
      </c>
      <c r="B25" t="s">
        <v>38</v>
      </c>
      <c r="C25" t="s">
        <v>30</v>
      </c>
      <c r="D25">
        <v>10</v>
      </c>
      <c r="E25">
        <v>55</v>
      </c>
      <c r="F25">
        <v>38</v>
      </c>
      <c r="G25">
        <v>0</v>
      </c>
      <c r="H25">
        <v>0</v>
      </c>
      <c r="I25">
        <v>13</v>
      </c>
      <c r="J25">
        <v>34</v>
      </c>
      <c r="K25">
        <v>290</v>
      </c>
      <c r="L25">
        <v>4</v>
      </c>
      <c r="M25">
        <v>0</v>
      </c>
      <c r="N25">
        <v>7.2</v>
      </c>
    </row>
    <row r="26" spans="1:14" x14ac:dyDescent="0.25">
      <c r="A26" t="str">
        <f t="shared" si="0"/>
        <v>P025</v>
      </c>
      <c r="B26" t="s">
        <v>39</v>
      </c>
      <c r="C26" t="s">
        <v>30</v>
      </c>
      <c r="D26">
        <v>11</v>
      </c>
      <c r="E26">
        <v>75</v>
      </c>
      <c r="F26">
        <v>55</v>
      </c>
      <c r="G26">
        <v>0</v>
      </c>
      <c r="H26">
        <v>0</v>
      </c>
      <c r="I26">
        <v>16</v>
      </c>
      <c r="J26">
        <v>45</v>
      </c>
      <c r="K26">
        <v>360</v>
      </c>
      <c r="L26">
        <v>6</v>
      </c>
      <c r="M26">
        <v>0</v>
      </c>
      <c r="N26">
        <v>10.6</v>
      </c>
    </row>
    <row r="27" spans="1:14" x14ac:dyDescent="0.25">
      <c r="A27" t="str">
        <f t="shared" si="0"/>
        <v>P026</v>
      </c>
      <c r="B27" t="s">
        <v>40</v>
      </c>
      <c r="C27" t="s">
        <v>30</v>
      </c>
      <c r="D27">
        <v>13</v>
      </c>
      <c r="E27">
        <v>100</v>
      </c>
      <c r="F27">
        <v>78</v>
      </c>
      <c r="G27">
        <v>0</v>
      </c>
      <c r="H27">
        <v>0</v>
      </c>
      <c r="I27">
        <v>19</v>
      </c>
      <c r="J27">
        <v>48</v>
      </c>
      <c r="K27">
        <v>410</v>
      </c>
      <c r="L27">
        <v>7</v>
      </c>
      <c r="M27">
        <v>0</v>
      </c>
      <c r="N27">
        <v>13.4</v>
      </c>
    </row>
    <row r="28" spans="1:14" x14ac:dyDescent="0.25">
      <c r="A28" t="str">
        <f t="shared" si="0"/>
        <v>P027</v>
      </c>
      <c r="B28" t="s">
        <v>41</v>
      </c>
      <c r="C28" t="s">
        <v>30</v>
      </c>
      <c r="D28">
        <v>9</v>
      </c>
      <c r="E28">
        <v>35</v>
      </c>
      <c r="F28">
        <v>25</v>
      </c>
      <c r="G28">
        <v>0</v>
      </c>
      <c r="H28">
        <v>0</v>
      </c>
      <c r="I28">
        <v>11</v>
      </c>
      <c r="J28">
        <v>28</v>
      </c>
      <c r="K28">
        <v>240</v>
      </c>
      <c r="L28">
        <v>3</v>
      </c>
      <c r="M28">
        <v>0</v>
      </c>
      <c r="N28">
        <v>5.8</v>
      </c>
    </row>
    <row r="29" spans="1:14" x14ac:dyDescent="0.25">
      <c r="A29" t="str">
        <f t="shared" si="0"/>
        <v>P028</v>
      </c>
      <c r="B29" t="s">
        <v>42</v>
      </c>
      <c r="C29" t="s">
        <v>30</v>
      </c>
      <c r="D29">
        <v>12</v>
      </c>
      <c r="E29">
        <v>90</v>
      </c>
      <c r="F29">
        <v>65</v>
      </c>
      <c r="G29">
        <v>0</v>
      </c>
      <c r="H29">
        <v>0</v>
      </c>
      <c r="I29">
        <v>17</v>
      </c>
      <c r="J29">
        <v>44</v>
      </c>
      <c r="K29">
        <v>350</v>
      </c>
      <c r="L29">
        <v>6</v>
      </c>
      <c r="M29">
        <v>0</v>
      </c>
      <c r="N29">
        <v>11.2</v>
      </c>
    </row>
    <row r="30" spans="1:14" x14ac:dyDescent="0.25">
      <c r="A30" t="str">
        <f t="shared" si="0"/>
        <v>P029</v>
      </c>
      <c r="B30" t="s">
        <v>43</v>
      </c>
      <c r="C30" t="s">
        <v>30</v>
      </c>
      <c r="D30">
        <v>10</v>
      </c>
      <c r="E30">
        <v>50</v>
      </c>
      <c r="F30">
        <v>35</v>
      </c>
      <c r="G30">
        <v>0</v>
      </c>
      <c r="H30">
        <v>0</v>
      </c>
      <c r="I30">
        <v>12</v>
      </c>
      <c r="J30">
        <v>33</v>
      </c>
      <c r="K30">
        <v>275</v>
      </c>
      <c r="L30">
        <v>4</v>
      </c>
      <c r="M30">
        <v>0</v>
      </c>
      <c r="N30">
        <v>7.1</v>
      </c>
    </row>
    <row r="31" spans="1:14" x14ac:dyDescent="0.25">
      <c r="A31" t="str">
        <f t="shared" si="0"/>
        <v>P030</v>
      </c>
      <c r="B31" t="s">
        <v>44</v>
      </c>
      <c r="C31" t="s">
        <v>30</v>
      </c>
      <c r="D31">
        <v>11</v>
      </c>
      <c r="E31">
        <v>65</v>
      </c>
      <c r="F31">
        <v>48</v>
      </c>
      <c r="G31">
        <v>0</v>
      </c>
      <c r="H31">
        <v>0</v>
      </c>
      <c r="I31">
        <v>14</v>
      </c>
      <c r="J31">
        <v>39</v>
      </c>
      <c r="K31">
        <v>315</v>
      </c>
      <c r="L31">
        <v>5</v>
      </c>
      <c r="M31">
        <v>0</v>
      </c>
      <c r="N31">
        <v>8.4</v>
      </c>
    </row>
    <row r="32" spans="1:14" x14ac:dyDescent="0.25">
      <c r="A32" t="str">
        <f t="shared" si="0"/>
        <v>P031</v>
      </c>
      <c r="B32" t="s">
        <v>45</v>
      </c>
      <c r="C32" t="s">
        <v>46</v>
      </c>
      <c r="D32">
        <v>12</v>
      </c>
      <c r="E32">
        <v>320</v>
      </c>
      <c r="F32">
        <v>240</v>
      </c>
      <c r="G32">
        <v>0</v>
      </c>
      <c r="H32">
        <v>3</v>
      </c>
      <c r="I32">
        <v>12</v>
      </c>
      <c r="J32">
        <v>32</v>
      </c>
      <c r="K32">
        <v>290</v>
      </c>
      <c r="L32">
        <v>7</v>
      </c>
      <c r="M32">
        <v>0</v>
      </c>
      <c r="N32">
        <v>12.9</v>
      </c>
    </row>
    <row r="33" spans="1:14" x14ac:dyDescent="0.25">
      <c r="A33" t="str">
        <f t="shared" si="0"/>
        <v>P032</v>
      </c>
      <c r="B33" t="s">
        <v>47</v>
      </c>
      <c r="C33" t="s">
        <v>46</v>
      </c>
      <c r="D33">
        <v>11</v>
      </c>
      <c r="E33">
        <v>260</v>
      </c>
      <c r="F33">
        <v>200</v>
      </c>
      <c r="G33">
        <v>0</v>
      </c>
      <c r="H33">
        <v>2</v>
      </c>
      <c r="I33">
        <v>10</v>
      </c>
      <c r="J33">
        <v>28</v>
      </c>
      <c r="K33">
        <v>250</v>
      </c>
      <c r="L33">
        <v>6</v>
      </c>
      <c r="M33">
        <v>0</v>
      </c>
      <c r="N33">
        <v>10.4</v>
      </c>
    </row>
    <row r="34" spans="1:14" x14ac:dyDescent="0.25">
      <c r="A34" t="str">
        <f t="shared" si="0"/>
        <v>P033</v>
      </c>
      <c r="B34" t="s">
        <v>48</v>
      </c>
      <c r="C34" t="s">
        <v>46</v>
      </c>
      <c r="D34">
        <v>10</v>
      </c>
      <c r="E34">
        <v>210</v>
      </c>
      <c r="F34">
        <v>160</v>
      </c>
      <c r="G34">
        <v>0</v>
      </c>
      <c r="H34">
        <v>1</v>
      </c>
      <c r="I34">
        <v>8</v>
      </c>
      <c r="J34">
        <v>24</v>
      </c>
      <c r="K34">
        <v>210</v>
      </c>
      <c r="L34">
        <v>5</v>
      </c>
      <c r="M34">
        <v>0</v>
      </c>
      <c r="N34">
        <v>8.1</v>
      </c>
    </row>
    <row r="35" spans="1:14" x14ac:dyDescent="0.25">
      <c r="A35" t="str">
        <f t="shared" si="0"/>
        <v>P034</v>
      </c>
      <c r="B35" t="s">
        <v>49</v>
      </c>
      <c r="C35" t="s">
        <v>46</v>
      </c>
      <c r="D35">
        <v>13</v>
      </c>
      <c r="E35">
        <v>340</v>
      </c>
      <c r="F35">
        <v>255</v>
      </c>
      <c r="G35">
        <v>0</v>
      </c>
      <c r="H35">
        <v>3</v>
      </c>
      <c r="I35">
        <v>14</v>
      </c>
      <c r="J35">
        <v>36</v>
      </c>
      <c r="K35">
        <v>310</v>
      </c>
      <c r="L35">
        <v>8</v>
      </c>
      <c r="M35">
        <v>0</v>
      </c>
      <c r="N35">
        <v>15.2</v>
      </c>
    </row>
    <row r="36" spans="1:14" x14ac:dyDescent="0.25">
      <c r="A36" t="str">
        <f t="shared" si="0"/>
        <v>P035</v>
      </c>
      <c r="B36" t="s">
        <v>50</v>
      </c>
      <c r="C36" t="s">
        <v>46</v>
      </c>
      <c r="D36">
        <v>9</v>
      </c>
      <c r="E36">
        <v>180</v>
      </c>
      <c r="F36">
        <v>130</v>
      </c>
      <c r="G36">
        <v>0</v>
      </c>
      <c r="H36">
        <v>1</v>
      </c>
      <c r="I36">
        <v>7</v>
      </c>
      <c r="J36">
        <v>20</v>
      </c>
      <c r="K36">
        <v>190</v>
      </c>
      <c r="L36">
        <v>4</v>
      </c>
      <c r="M36">
        <v>0</v>
      </c>
      <c r="N36">
        <v>6.3</v>
      </c>
    </row>
    <row r="37" spans="1:14" x14ac:dyDescent="0.25">
      <c r="A37" t="str">
        <f t="shared" si="0"/>
        <v>P036</v>
      </c>
      <c r="B37" t="s">
        <v>51</v>
      </c>
      <c r="C37" t="s">
        <v>46</v>
      </c>
      <c r="D37">
        <v>14</v>
      </c>
      <c r="E37">
        <v>350</v>
      </c>
      <c r="F37">
        <v>260</v>
      </c>
      <c r="G37">
        <v>0</v>
      </c>
      <c r="H37">
        <v>3</v>
      </c>
      <c r="I37">
        <v>15</v>
      </c>
      <c r="J37">
        <v>38</v>
      </c>
      <c r="K37">
        <v>330</v>
      </c>
      <c r="L37">
        <v>9</v>
      </c>
      <c r="M37">
        <v>0</v>
      </c>
      <c r="N37">
        <v>16.8</v>
      </c>
    </row>
    <row r="38" spans="1:14" x14ac:dyDescent="0.25">
      <c r="A38" t="str">
        <f t="shared" si="0"/>
        <v>P037</v>
      </c>
      <c r="B38" t="s">
        <v>52</v>
      </c>
      <c r="C38" t="s">
        <v>46</v>
      </c>
      <c r="D38">
        <v>12</v>
      </c>
      <c r="E38">
        <v>275</v>
      </c>
      <c r="F38">
        <v>205</v>
      </c>
      <c r="G38">
        <v>0</v>
      </c>
      <c r="H38">
        <v>2</v>
      </c>
      <c r="I38">
        <v>11</v>
      </c>
      <c r="J38">
        <v>30</v>
      </c>
      <c r="K38">
        <v>270</v>
      </c>
      <c r="L38">
        <v>6</v>
      </c>
      <c r="M38">
        <v>0</v>
      </c>
      <c r="N38">
        <v>11.5</v>
      </c>
    </row>
    <row r="39" spans="1:14" x14ac:dyDescent="0.25">
      <c r="A39" t="str">
        <f t="shared" si="0"/>
        <v>P038</v>
      </c>
      <c r="B39" t="s">
        <v>53</v>
      </c>
      <c r="C39" t="s">
        <v>46</v>
      </c>
      <c r="D39">
        <v>8</v>
      </c>
      <c r="E39">
        <v>160</v>
      </c>
      <c r="F39">
        <v>125</v>
      </c>
      <c r="G39">
        <v>0</v>
      </c>
      <c r="H39">
        <v>1</v>
      </c>
      <c r="I39">
        <v>6</v>
      </c>
      <c r="J39">
        <v>18</v>
      </c>
      <c r="K39">
        <v>160</v>
      </c>
      <c r="L39">
        <v>3</v>
      </c>
      <c r="M39">
        <v>0</v>
      </c>
      <c r="N39">
        <v>5.2</v>
      </c>
    </row>
    <row r="40" spans="1:14" x14ac:dyDescent="0.25">
      <c r="A40" t="str">
        <f t="shared" si="0"/>
        <v>P039</v>
      </c>
      <c r="B40" t="s">
        <v>54</v>
      </c>
      <c r="C40" t="s">
        <v>46</v>
      </c>
      <c r="D40">
        <v>11</v>
      </c>
      <c r="E40">
        <v>300</v>
      </c>
      <c r="F40">
        <v>230</v>
      </c>
      <c r="G40">
        <v>0</v>
      </c>
      <c r="H40">
        <v>2</v>
      </c>
      <c r="I40">
        <v>13</v>
      </c>
      <c r="J40">
        <v>34</v>
      </c>
      <c r="K40">
        <v>295</v>
      </c>
      <c r="L40">
        <v>7</v>
      </c>
      <c r="M40">
        <v>0</v>
      </c>
      <c r="N40">
        <v>13.6</v>
      </c>
    </row>
    <row r="41" spans="1:14" x14ac:dyDescent="0.25">
      <c r="A41" t="str">
        <f t="shared" si="0"/>
        <v>P040</v>
      </c>
      <c r="B41" t="s">
        <v>55</v>
      </c>
      <c r="C41" t="s">
        <v>46</v>
      </c>
      <c r="D41">
        <v>10</v>
      </c>
      <c r="E41">
        <v>220</v>
      </c>
      <c r="F41">
        <v>170</v>
      </c>
      <c r="G41">
        <v>0</v>
      </c>
      <c r="H41">
        <v>1</v>
      </c>
      <c r="I41">
        <v>9</v>
      </c>
      <c r="J41">
        <v>26</v>
      </c>
      <c r="K41">
        <v>230</v>
      </c>
      <c r="L41">
        <v>5</v>
      </c>
      <c r="M41">
        <v>0</v>
      </c>
      <c r="N41">
        <v>9.1</v>
      </c>
    </row>
    <row r="42" spans="1:14" x14ac:dyDescent="0.25">
      <c r="A42" t="str">
        <f t="shared" si="0"/>
        <v>P041</v>
      </c>
      <c r="B42" t="s">
        <v>56</v>
      </c>
      <c r="C42" t="s">
        <v>46</v>
      </c>
      <c r="D42">
        <v>12</v>
      </c>
      <c r="E42">
        <v>310</v>
      </c>
      <c r="F42">
        <v>240</v>
      </c>
      <c r="G42">
        <v>0</v>
      </c>
      <c r="H42">
        <v>2</v>
      </c>
      <c r="I42">
        <v>12</v>
      </c>
      <c r="J42">
        <v>32</v>
      </c>
      <c r="K42">
        <v>285</v>
      </c>
      <c r="L42">
        <v>6</v>
      </c>
      <c r="M42">
        <v>0</v>
      </c>
      <c r="N42">
        <v>12.4</v>
      </c>
    </row>
    <row r="43" spans="1:14" x14ac:dyDescent="0.25">
      <c r="A43" t="str">
        <f t="shared" si="0"/>
        <v>P042</v>
      </c>
      <c r="B43" t="s">
        <v>57</v>
      </c>
      <c r="C43" t="s">
        <v>46</v>
      </c>
      <c r="D43">
        <v>13</v>
      </c>
      <c r="E43">
        <v>330</v>
      </c>
      <c r="F43">
        <v>250</v>
      </c>
      <c r="G43">
        <v>0</v>
      </c>
      <c r="H43">
        <v>3</v>
      </c>
      <c r="I43">
        <v>14</v>
      </c>
      <c r="J43">
        <v>35</v>
      </c>
      <c r="K43">
        <v>305</v>
      </c>
      <c r="L43">
        <v>8</v>
      </c>
      <c r="M43">
        <v>0</v>
      </c>
      <c r="N43">
        <v>14.9</v>
      </c>
    </row>
    <row r="44" spans="1:14" x14ac:dyDescent="0.25">
      <c r="A44" t="str">
        <f t="shared" si="0"/>
        <v>P043</v>
      </c>
      <c r="B44" t="s">
        <v>58</v>
      </c>
      <c r="C44" t="s">
        <v>46</v>
      </c>
      <c r="D44">
        <v>9</v>
      </c>
      <c r="E44">
        <v>190</v>
      </c>
      <c r="F44">
        <v>150</v>
      </c>
      <c r="G44">
        <v>0</v>
      </c>
      <c r="H44">
        <v>1</v>
      </c>
      <c r="I44">
        <v>7</v>
      </c>
      <c r="J44">
        <v>22</v>
      </c>
      <c r="K44">
        <v>200</v>
      </c>
      <c r="L44">
        <v>4</v>
      </c>
      <c r="M44">
        <v>0</v>
      </c>
      <c r="N44">
        <v>6.8</v>
      </c>
    </row>
    <row r="45" spans="1:14" x14ac:dyDescent="0.25">
      <c r="A45" t="str">
        <f t="shared" si="0"/>
        <v>P044</v>
      </c>
      <c r="B45" t="s">
        <v>59</v>
      </c>
      <c r="C45" t="s">
        <v>46</v>
      </c>
      <c r="D45">
        <v>11</v>
      </c>
      <c r="E45">
        <v>280</v>
      </c>
      <c r="F45">
        <v>215</v>
      </c>
      <c r="G45">
        <v>0</v>
      </c>
      <c r="H45">
        <v>2</v>
      </c>
      <c r="I45">
        <v>10</v>
      </c>
      <c r="J45">
        <v>28</v>
      </c>
      <c r="K45">
        <v>255</v>
      </c>
      <c r="L45">
        <v>6</v>
      </c>
      <c r="M45">
        <v>0</v>
      </c>
      <c r="N45">
        <v>10.9</v>
      </c>
    </row>
    <row r="46" spans="1:14" x14ac:dyDescent="0.25">
      <c r="A46" t="str">
        <f t="shared" si="0"/>
        <v>P045</v>
      </c>
      <c r="B46" t="s">
        <v>60</v>
      </c>
      <c r="C46" t="s">
        <v>46</v>
      </c>
      <c r="D46">
        <v>10</v>
      </c>
      <c r="E46">
        <v>240</v>
      </c>
      <c r="F46">
        <v>185</v>
      </c>
      <c r="G46">
        <v>0</v>
      </c>
      <c r="H46">
        <v>1</v>
      </c>
      <c r="I46">
        <v>9</v>
      </c>
      <c r="J46">
        <v>25</v>
      </c>
      <c r="K46">
        <v>220</v>
      </c>
      <c r="L46">
        <v>5</v>
      </c>
      <c r="M46">
        <v>0</v>
      </c>
      <c r="N46">
        <v>9.3000000000000007</v>
      </c>
    </row>
    <row r="47" spans="1:14" x14ac:dyDescent="0.25">
      <c r="A47" t="str">
        <f t="shared" si="0"/>
        <v>P046</v>
      </c>
      <c r="B47" t="s">
        <v>61</v>
      </c>
      <c r="C47" t="s">
        <v>62</v>
      </c>
      <c r="D47">
        <v>12</v>
      </c>
      <c r="E47">
        <v>390</v>
      </c>
      <c r="F47">
        <v>300</v>
      </c>
      <c r="G47">
        <v>0</v>
      </c>
      <c r="H47">
        <v>3</v>
      </c>
      <c r="I47">
        <v>0</v>
      </c>
      <c r="J47">
        <v>0</v>
      </c>
      <c r="K47">
        <v>0</v>
      </c>
      <c r="L47">
        <v>14</v>
      </c>
      <c r="M47">
        <v>5</v>
      </c>
      <c r="N47">
        <v>13.2</v>
      </c>
    </row>
    <row r="48" spans="1:14" x14ac:dyDescent="0.25">
      <c r="A48" t="str">
        <f t="shared" si="0"/>
        <v>P047</v>
      </c>
      <c r="B48" t="s">
        <v>63</v>
      </c>
      <c r="C48" t="s">
        <v>62</v>
      </c>
      <c r="D48">
        <v>11</v>
      </c>
      <c r="E48">
        <v>350</v>
      </c>
      <c r="F48">
        <v>265</v>
      </c>
      <c r="G48">
        <v>0</v>
      </c>
      <c r="H48">
        <v>2</v>
      </c>
      <c r="I48">
        <v>0</v>
      </c>
      <c r="J48">
        <v>0</v>
      </c>
      <c r="K48">
        <v>0</v>
      </c>
      <c r="L48">
        <v>12</v>
      </c>
      <c r="M48">
        <v>4</v>
      </c>
      <c r="N48">
        <v>10.6</v>
      </c>
    </row>
    <row r="49" spans="1:14" x14ac:dyDescent="0.25">
      <c r="A49" t="str">
        <f t="shared" si="0"/>
        <v>P048</v>
      </c>
      <c r="B49" t="s">
        <v>64</v>
      </c>
      <c r="C49" t="s">
        <v>62</v>
      </c>
      <c r="D49">
        <v>10</v>
      </c>
      <c r="E49">
        <v>280</v>
      </c>
      <c r="F49">
        <v>210</v>
      </c>
      <c r="G49">
        <v>0</v>
      </c>
      <c r="H49">
        <v>2</v>
      </c>
      <c r="I49">
        <v>0</v>
      </c>
      <c r="J49">
        <v>0</v>
      </c>
      <c r="K49">
        <v>0</v>
      </c>
      <c r="L49">
        <v>10</v>
      </c>
      <c r="M49">
        <v>3</v>
      </c>
      <c r="N49">
        <v>8.3000000000000007</v>
      </c>
    </row>
    <row r="50" spans="1:14" x14ac:dyDescent="0.25">
      <c r="A50" t="str">
        <f t="shared" si="0"/>
        <v>P049</v>
      </c>
      <c r="B50" t="s">
        <v>65</v>
      </c>
      <c r="C50" t="s">
        <v>62</v>
      </c>
      <c r="D50">
        <v>13</v>
      </c>
      <c r="E50">
        <v>410</v>
      </c>
      <c r="F50">
        <v>315</v>
      </c>
      <c r="G50">
        <v>0</v>
      </c>
      <c r="H50">
        <v>4</v>
      </c>
      <c r="I50">
        <v>0</v>
      </c>
      <c r="J50">
        <v>0</v>
      </c>
      <c r="K50">
        <v>0</v>
      </c>
      <c r="L50">
        <v>16</v>
      </c>
      <c r="M50">
        <v>6</v>
      </c>
      <c r="N50">
        <v>15.8</v>
      </c>
    </row>
    <row r="51" spans="1:14" x14ac:dyDescent="0.25">
      <c r="A51" t="str">
        <f t="shared" si="0"/>
        <v>P050</v>
      </c>
      <c r="B51" t="s">
        <v>66</v>
      </c>
      <c r="C51" t="s">
        <v>62</v>
      </c>
      <c r="D51">
        <v>9</v>
      </c>
      <c r="E51">
        <v>200</v>
      </c>
      <c r="F51">
        <v>150</v>
      </c>
      <c r="G51">
        <v>0</v>
      </c>
      <c r="H51">
        <v>1</v>
      </c>
      <c r="I51">
        <v>0</v>
      </c>
      <c r="J51">
        <v>0</v>
      </c>
      <c r="K51">
        <v>0</v>
      </c>
      <c r="L51">
        <v>8</v>
      </c>
      <c r="M51">
        <v>2</v>
      </c>
      <c r="N51">
        <v>5.0999999999999996</v>
      </c>
    </row>
    <row r="52" spans="1:14" x14ac:dyDescent="0.25">
      <c r="A52" t="str">
        <f t="shared" si="0"/>
        <v>P051</v>
      </c>
      <c r="B52" t="s">
        <v>67</v>
      </c>
      <c r="C52" t="s">
        <v>62</v>
      </c>
      <c r="D52">
        <v>14</v>
      </c>
      <c r="E52">
        <v>420</v>
      </c>
      <c r="F52">
        <v>320</v>
      </c>
      <c r="G52">
        <v>0</v>
      </c>
      <c r="H52">
        <v>4</v>
      </c>
      <c r="I52">
        <v>0</v>
      </c>
      <c r="J52">
        <v>0</v>
      </c>
      <c r="K52">
        <v>0</v>
      </c>
      <c r="L52">
        <v>18</v>
      </c>
      <c r="M52">
        <v>7</v>
      </c>
      <c r="N52">
        <v>17.5</v>
      </c>
    </row>
    <row r="53" spans="1:14" x14ac:dyDescent="0.25">
      <c r="A53" t="str">
        <f t="shared" si="0"/>
        <v>P052</v>
      </c>
      <c r="B53" t="s">
        <v>68</v>
      </c>
      <c r="C53" t="s">
        <v>62</v>
      </c>
      <c r="D53">
        <v>12</v>
      </c>
      <c r="E53">
        <v>305</v>
      </c>
      <c r="F53">
        <v>230</v>
      </c>
      <c r="G53">
        <v>0</v>
      </c>
      <c r="H53">
        <v>2</v>
      </c>
      <c r="I53">
        <v>0</v>
      </c>
      <c r="J53">
        <v>0</v>
      </c>
      <c r="K53">
        <v>0</v>
      </c>
      <c r="L53">
        <v>11</v>
      </c>
      <c r="M53">
        <v>4</v>
      </c>
      <c r="N53">
        <v>9.1999999999999993</v>
      </c>
    </row>
    <row r="54" spans="1:14" x14ac:dyDescent="0.25">
      <c r="A54" t="str">
        <f t="shared" si="0"/>
        <v>P053</v>
      </c>
      <c r="B54" t="s">
        <v>69</v>
      </c>
      <c r="C54" t="s">
        <v>62</v>
      </c>
      <c r="D54">
        <v>8</v>
      </c>
      <c r="E54">
        <v>190</v>
      </c>
      <c r="F54">
        <v>140</v>
      </c>
      <c r="G54">
        <v>0</v>
      </c>
      <c r="H54">
        <v>1</v>
      </c>
      <c r="I54">
        <v>0</v>
      </c>
      <c r="J54">
        <v>0</v>
      </c>
      <c r="K54">
        <v>0</v>
      </c>
      <c r="L54">
        <v>7</v>
      </c>
      <c r="M54">
        <v>2</v>
      </c>
      <c r="N54">
        <v>4.3</v>
      </c>
    </row>
    <row r="55" spans="1:14" x14ac:dyDescent="0.25">
      <c r="A55" t="str">
        <f t="shared" si="0"/>
        <v>P054</v>
      </c>
      <c r="B55" t="s">
        <v>70</v>
      </c>
      <c r="C55" t="s">
        <v>62</v>
      </c>
      <c r="D55">
        <v>11</v>
      </c>
      <c r="E55">
        <v>260</v>
      </c>
      <c r="F55">
        <v>195</v>
      </c>
      <c r="G55">
        <v>0</v>
      </c>
      <c r="H55">
        <v>2</v>
      </c>
      <c r="I55">
        <v>0</v>
      </c>
      <c r="J55">
        <v>0</v>
      </c>
      <c r="K55">
        <v>0</v>
      </c>
      <c r="L55">
        <v>9</v>
      </c>
      <c r="M55">
        <v>3</v>
      </c>
      <c r="N55">
        <v>7.6</v>
      </c>
    </row>
    <row r="56" spans="1:14" x14ac:dyDescent="0.25">
      <c r="A56" t="str">
        <f t="shared" si="0"/>
        <v>P055</v>
      </c>
      <c r="B56" t="s">
        <v>71</v>
      </c>
      <c r="C56" t="s">
        <v>62</v>
      </c>
      <c r="D56">
        <v>10</v>
      </c>
      <c r="E56">
        <v>240</v>
      </c>
      <c r="F56">
        <v>180</v>
      </c>
      <c r="G56">
        <v>0</v>
      </c>
      <c r="H56">
        <v>1</v>
      </c>
      <c r="I56">
        <v>0</v>
      </c>
      <c r="J56">
        <v>0</v>
      </c>
      <c r="K56">
        <v>0</v>
      </c>
      <c r="L56">
        <v>8</v>
      </c>
      <c r="M56">
        <v>2</v>
      </c>
      <c r="N56">
        <v>6.2</v>
      </c>
    </row>
    <row r="57" spans="1:14" x14ac:dyDescent="0.25">
      <c r="A57" t="str">
        <f t="shared" si="0"/>
        <v>P056</v>
      </c>
      <c r="B57" t="s">
        <v>72</v>
      </c>
      <c r="C57" t="s">
        <v>62</v>
      </c>
      <c r="D57">
        <v>12</v>
      </c>
      <c r="E57">
        <v>330</v>
      </c>
      <c r="F57">
        <v>250</v>
      </c>
      <c r="G57">
        <v>0</v>
      </c>
      <c r="H57">
        <v>3</v>
      </c>
      <c r="I57">
        <v>0</v>
      </c>
      <c r="J57">
        <v>0</v>
      </c>
      <c r="K57">
        <v>0</v>
      </c>
      <c r="L57">
        <v>12</v>
      </c>
      <c r="M57">
        <v>5</v>
      </c>
      <c r="N57">
        <v>11.8</v>
      </c>
    </row>
    <row r="58" spans="1:14" x14ac:dyDescent="0.25">
      <c r="A58" t="str">
        <f t="shared" si="0"/>
        <v>P057</v>
      </c>
      <c r="B58" t="s">
        <v>73</v>
      </c>
      <c r="C58" t="s">
        <v>62</v>
      </c>
      <c r="D58">
        <v>13</v>
      </c>
      <c r="E58">
        <v>360</v>
      </c>
      <c r="F58">
        <v>275</v>
      </c>
      <c r="G58">
        <v>0</v>
      </c>
      <c r="H58">
        <v>3</v>
      </c>
      <c r="I58">
        <v>0</v>
      </c>
      <c r="J58">
        <v>0</v>
      </c>
      <c r="K58">
        <v>0</v>
      </c>
      <c r="L58">
        <v>13</v>
      </c>
      <c r="M58">
        <v>6</v>
      </c>
      <c r="N58">
        <v>12.7</v>
      </c>
    </row>
    <row r="59" spans="1:14" x14ac:dyDescent="0.25">
      <c r="A59" t="str">
        <f t="shared" si="0"/>
        <v>P058</v>
      </c>
      <c r="B59" t="s">
        <v>74</v>
      </c>
      <c r="C59" t="s">
        <v>62</v>
      </c>
      <c r="D59">
        <v>9</v>
      </c>
      <c r="E59">
        <v>210</v>
      </c>
      <c r="F59">
        <v>160</v>
      </c>
      <c r="G59">
        <v>0</v>
      </c>
      <c r="H59">
        <v>1</v>
      </c>
      <c r="I59">
        <v>0</v>
      </c>
      <c r="J59">
        <v>0</v>
      </c>
      <c r="K59">
        <v>0</v>
      </c>
      <c r="L59">
        <v>8</v>
      </c>
      <c r="M59">
        <v>2</v>
      </c>
      <c r="N59">
        <v>5.4</v>
      </c>
    </row>
    <row r="60" spans="1:14" x14ac:dyDescent="0.25">
      <c r="A60" t="str">
        <f t="shared" si="0"/>
        <v>P059</v>
      </c>
      <c r="B60" t="s">
        <v>75</v>
      </c>
      <c r="C60" t="s">
        <v>62</v>
      </c>
      <c r="D60">
        <v>11</v>
      </c>
      <c r="E60">
        <v>295</v>
      </c>
      <c r="F60">
        <v>220</v>
      </c>
      <c r="G60">
        <v>0</v>
      </c>
      <c r="H60">
        <v>2</v>
      </c>
      <c r="I60">
        <v>0</v>
      </c>
      <c r="J60">
        <v>0</v>
      </c>
      <c r="K60">
        <v>0</v>
      </c>
      <c r="L60">
        <v>10</v>
      </c>
      <c r="M60">
        <v>4</v>
      </c>
      <c r="N60">
        <v>8.9</v>
      </c>
    </row>
    <row r="61" spans="1:14" x14ac:dyDescent="0.25">
      <c r="A61" t="str">
        <f t="shared" si="0"/>
        <v>P060</v>
      </c>
      <c r="B61" t="s">
        <v>76</v>
      </c>
      <c r="C61" t="s">
        <v>62</v>
      </c>
      <c r="D61">
        <v>10</v>
      </c>
      <c r="E61">
        <v>225</v>
      </c>
      <c r="F61">
        <v>170</v>
      </c>
      <c r="G61">
        <v>0</v>
      </c>
      <c r="H61">
        <v>1</v>
      </c>
      <c r="I61">
        <v>0</v>
      </c>
      <c r="J61">
        <v>0</v>
      </c>
      <c r="K61">
        <v>0</v>
      </c>
      <c r="L61">
        <v>9</v>
      </c>
      <c r="M61">
        <v>3</v>
      </c>
      <c r="N61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selection activeCell="M74" sqref="M74"/>
    </sheetView>
  </sheetViews>
  <sheetFormatPr defaultRowHeight="15" x14ac:dyDescent="0.25"/>
  <cols>
    <col min="1" max="1" width="9.42578125" bestFit="1" customWidth="1"/>
    <col min="2" max="2" width="16.85546875" bestFit="1" customWidth="1"/>
    <col min="3" max="3" width="13.5703125" bestFit="1" customWidth="1"/>
    <col min="4" max="4" width="8.42578125" bestFit="1" customWidth="1"/>
    <col min="5" max="5" width="8.5703125" customWidth="1"/>
    <col min="6" max="6" width="11.28515625" bestFit="1" customWidth="1"/>
    <col min="7" max="7" width="8" bestFit="1" customWidth="1"/>
    <col min="8" max="8" width="14" bestFit="1" customWidth="1"/>
    <col min="9" max="9" width="15.28515625" bestFit="1" customWidth="1"/>
    <col min="10" max="10" width="13.7109375" bestFit="1" customWidth="1"/>
    <col min="11" max="11" width="15.85546875" bestFit="1" customWidth="1"/>
    <col min="12" max="12" width="14.28515625" bestFit="1" customWidth="1"/>
    <col min="13" max="13" width="16.7109375" bestFit="1" customWidth="1"/>
    <col min="14" max="14" width="18.5703125" customWidth="1"/>
    <col min="15" max="15" width="17" customWidth="1"/>
  </cols>
  <sheetData>
    <row r="1" spans="1:15" x14ac:dyDescent="0.25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  <c r="H1" t="s">
        <v>8</v>
      </c>
      <c r="I1" t="s">
        <v>9</v>
      </c>
      <c r="J1" t="s">
        <v>80</v>
      </c>
      <c r="K1" t="s">
        <v>81</v>
      </c>
      <c r="L1" t="s">
        <v>82</v>
      </c>
      <c r="M1" t="s">
        <v>78</v>
      </c>
      <c r="N1" t="s">
        <v>83</v>
      </c>
      <c r="O1" t="s">
        <v>84</v>
      </c>
    </row>
    <row r="2" spans="1:15" x14ac:dyDescent="0.25">
      <c r="A2" t="str">
        <f>raw_data!A24</f>
        <v>P023</v>
      </c>
      <c r="B2" t="str">
        <f>raw_data!B24</f>
        <v>Neel Verma</v>
      </c>
      <c r="C2" t="str">
        <f>raw_data!C24</f>
        <v>Bowler</v>
      </c>
      <c r="D2">
        <f>raw_data!D24</f>
        <v>8</v>
      </c>
      <c r="E2">
        <f>raw_data!E24</f>
        <v>25</v>
      </c>
      <c r="F2">
        <f>raw_data!F24</f>
        <v>20</v>
      </c>
      <c r="G2">
        <f>raw_data!I24</f>
        <v>9</v>
      </c>
      <c r="H2">
        <f>raw_data!J24</f>
        <v>25</v>
      </c>
      <c r="I2">
        <f>raw_data!K24</f>
        <v>220</v>
      </c>
      <c r="J2" s="5">
        <f>IF(F2=0,"",(E2/F2)*100)</f>
        <v>125</v>
      </c>
      <c r="K2" s="5">
        <f>IF(D2=0,"",E2/D2)</f>
        <v>3.125</v>
      </c>
      <c r="L2" s="5">
        <f>IF(H2=0,"",I2/H2)</f>
        <v>8.8000000000000007</v>
      </c>
      <c r="M2" s="5">
        <f>IF(G2=0,"",I2/G2)</f>
        <v>24.444444444444443</v>
      </c>
      <c r="N2" s="5">
        <f>IF(C2="Batsman",
(J2/$J$62*0.6)+(K2/$K$62*0.4),
IF(C2="Wicketkeeper",
(J2/$J$62*0.55)+(K2/$K$62*0.45),
IF(C2="Bowler",
(($L$62/L2)*0.55)+(($M$62/M2)*0.45),
(J2/$J$62*0.35)+(K2/$K$62*0.25)+(($L$62/L2)*0.2)+(($M$62/M2)*0.2)
)))</f>
        <v>8.8432791508103907</v>
      </c>
      <c r="O2" s="5">
        <f>N2/raw_data!N24</f>
        <v>1.9651731446245313</v>
      </c>
    </row>
    <row r="3" spans="1:15" x14ac:dyDescent="0.25">
      <c r="A3" t="str">
        <f>raw_data!A28</f>
        <v>P027</v>
      </c>
      <c r="B3" t="str">
        <f>raw_data!B28</f>
        <v>Hemant Luniya</v>
      </c>
      <c r="C3" t="str">
        <f>raw_data!C28</f>
        <v>Bowler</v>
      </c>
      <c r="D3">
        <f>raw_data!D28</f>
        <v>9</v>
      </c>
      <c r="E3">
        <f>raw_data!E28</f>
        <v>35</v>
      </c>
      <c r="F3">
        <f>raw_data!F28</f>
        <v>25</v>
      </c>
      <c r="G3">
        <f>raw_data!I28</f>
        <v>11</v>
      </c>
      <c r="H3">
        <f>raw_data!J28</f>
        <v>28</v>
      </c>
      <c r="I3">
        <f>raw_data!K28</f>
        <v>240</v>
      </c>
      <c r="J3" s="5">
        <f>IF(F3=0,"",(E3/F3)*100)</f>
        <v>140</v>
      </c>
      <c r="K3" s="5">
        <f>IF(D3=0,"",E3/D3)</f>
        <v>3.8888888888888888</v>
      </c>
      <c r="L3" s="5">
        <f>IF(H3=0,"",I3/H3)</f>
        <v>8.5714285714285712</v>
      </c>
      <c r="M3" s="5">
        <f>IF(G3=0,"",I3/G3)</f>
        <v>21.818181818181817</v>
      </c>
      <c r="N3" s="5">
        <f>IF(C3="Batsman",
(J3/$J$62*0.6)+(K3/$K$62*0.4),
IF(C3="Wicketkeeper",
(J3/$J$62*0.55)+(K3/$K$62*0.45),
IF(C3="Bowler",
(($L$62/L3)*0.55)+(($M$62/M3)*0.45),
(J3/$J$62*0.35)+(K3/$K$62*0.25)+(($L$62/L3)*0.2)+(($M$62/M3)*0.2)
)))</f>
        <v>9.1178810721803565</v>
      </c>
      <c r="O3" s="5">
        <f>N3/raw_data!N28</f>
        <v>1.5720484607207512</v>
      </c>
    </row>
    <row r="4" spans="1:15" x14ac:dyDescent="0.25">
      <c r="A4" t="str">
        <f>raw_data!A21</f>
        <v>P020</v>
      </c>
      <c r="B4" t="str">
        <f>raw_data!B21</f>
        <v>Varun Jaitley</v>
      </c>
      <c r="C4" t="str">
        <f>raw_data!C21</f>
        <v>Bowler</v>
      </c>
      <c r="D4">
        <f>raw_data!D21</f>
        <v>9</v>
      </c>
      <c r="E4">
        <f>raw_data!E21</f>
        <v>40</v>
      </c>
      <c r="F4">
        <f>raw_data!F21</f>
        <v>28</v>
      </c>
      <c r="G4">
        <f>raw_data!I21</f>
        <v>10</v>
      </c>
      <c r="H4">
        <f>raw_data!J21</f>
        <v>30</v>
      </c>
      <c r="I4">
        <f>raw_data!K21</f>
        <v>250</v>
      </c>
      <c r="J4" s="5">
        <f>IF(F4=0,"",(E4/F4)*100)</f>
        <v>142.85714285714286</v>
      </c>
      <c r="K4" s="5">
        <f>IF(D4=0,"",E4/D4)</f>
        <v>4.4444444444444446</v>
      </c>
      <c r="L4" s="5">
        <f>IF(H4=0,"",I4/H4)</f>
        <v>8.3333333333333339</v>
      </c>
      <c r="M4" s="5">
        <f>IF(G4=0,"",I4/G4)</f>
        <v>25</v>
      </c>
      <c r="N4" s="5">
        <f>IF(C4="Batsman",
(J4/$J$62*0.6)+(K4/$K$62*0.4),
IF(C4="Wicketkeeper",
(J4/$J$62*0.55)+(K4/$K$62*0.45),
IF(C4="Bowler",
(($L$62/L4)*0.55)+(($M$62/M4)*0.45),
(J4/$J$62*0.35)+(K4/$K$62*0.25)+(($L$62/L4)*0.2)+(($M$62/M4)*0.2)
)))</f>
        <v>9.3061289586867098</v>
      </c>
      <c r="O4" s="5">
        <f>N4/raw_data!N21</f>
        <v>1.5009885417236628</v>
      </c>
    </row>
    <row r="5" spans="1:15" x14ac:dyDescent="0.25">
      <c r="A5" t="str">
        <f>raw_data!A30</f>
        <v>P029</v>
      </c>
      <c r="B5" t="str">
        <f>raw_data!B30</f>
        <v>Yuvraj Mahadik</v>
      </c>
      <c r="C5" t="str">
        <f>raw_data!C30</f>
        <v>Bowler</v>
      </c>
      <c r="D5">
        <f>raw_data!D30</f>
        <v>10</v>
      </c>
      <c r="E5">
        <f>raw_data!E30</f>
        <v>50</v>
      </c>
      <c r="F5">
        <f>raw_data!F30</f>
        <v>35</v>
      </c>
      <c r="G5">
        <f>raw_data!I30</f>
        <v>12</v>
      </c>
      <c r="H5">
        <f>raw_data!J30</f>
        <v>33</v>
      </c>
      <c r="I5">
        <f>raw_data!K30</f>
        <v>275</v>
      </c>
      <c r="J5" s="5">
        <f>IF(F5=0,"",(E5/F5)*100)</f>
        <v>142.85714285714286</v>
      </c>
      <c r="K5" s="5">
        <f>IF(D5=0,"",E5/D5)</f>
        <v>5</v>
      </c>
      <c r="L5" s="5">
        <f>IF(H5=0,"",I5/H5)</f>
        <v>8.3333333333333339</v>
      </c>
      <c r="M5" s="5">
        <f>IF(G5=0,"",I5/G5)</f>
        <v>22.916666666666668</v>
      </c>
      <c r="N5" s="5">
        <f>IF(C5="Batsman",
(J5/$J$62*0.6)+(K5/$K$62*0.4),
IF(C5="Wicketkeeper",
(J5/$J$62*0.55)+(K5/$K$62*0.45),
IF(C5="Bowler",
(($L$62/L5)*0.55)+(($M$62/M5)*0.45),
(J5/$J$62*0.35)+(K5/$K$62*0.25)+(($L$62/L5)*0.2)+(($M$62/M5)*0.2)
)))</f>
        <v>9.3429173956970075</v>
      </c>
      <c r="O5" s="5">
        <f>N5/raw_data!N30</f>
        <v>1.3159038585488743</v>
      </c>
    </row>
    <row r="6" spans="1:15" x14ac:dyDescent="0.25">
      <c r="A6" t="str">
        <f>raw_data!A25</f>
        <v>P024</v>
      </c>
      <c r="B6" t="str">
        <f>raw_data!B25</f>
        <v>Saurabh Pathak</v>
      </c>
      <c r="C6" t="str">
        <f>raw_data!C25</f>
        <v>Bowler</v>
      </c>
      <c r="D6">
        <f>raw_data!D25</f>
        <v>10</v>
      </c>
      <c r="E6">
        <f>raw_data!E25</f>
        <v>55</v>
      </c>
      <c r="F6">
        <f>raw_data!F25</f>
        <v>38</v>
      </c>
      <c r="G6">
        <f>raw_data!I25</f>
        <v>13</v>
      </c>
      <c r="H6">
        <f>raw_data!J25</f>
        <v>34</v>
      </c>
      <c r="I6">
        <f>raw_data!K25</f>
        <v>290</v>
      </c>
      <c r="J6" s="5">
        <f>IF(F6=0,"",(E6/F6)*100)</f>
        <v>144.73684210526315</v>
      </c>
      <c r="K6" s="5">
        <f>IF(D6=0,"",E6/D6)</f>
        <v>5.5</v>
      </c>
      <c r="L6" s="5">
        <f>IF(H6=0,"",I6/H6)</f>
        <v>8.5294117647058822</v>
      </c>
      <c r="M6" s="5">
        <f>IF(G6=0,"",I6/G6)</f>
        <v>22.307692307692307</v>
      </c>
      <c r="N6" s="5">
        <f>IF(C6="Batsman",
(J6/$J$62*0.6)+(K6/$K$62*0.4),
IF(C6="Wicketkeeper",
(J6/$J$62*0.55)+(K6/$K$62*0.45),
IF(C6="Bowler",
(($L$62/L6)*0.55)+(($M$62/M6)*0.45),
(J6/$J$62*0.35)+(K6/$K$62*0.25)+(($L$62/L6)*0.2)+(($M$62/M6)*0.2)
)))</f>
        <v>9.1503376043366256</v>
      </c>
      <c r="O6" s="5">
        <f>N6/raw_data!N25</f>
        <v>1.2708802228245313</v>
      </c>
    </row>
    <row r="7" spans="1:15" x14ac:dyDescent="0.25">
      <c r="A7" t="str">
        <f>raw_data!A19</f>
        <v>P018</v>
      </c>
      <c r="B7" t="str">
        <f>raw_data!B19</f>
        <v>Mohit Deshpande</v>
      </c>
      <c r="C7" t="str">
        <f>raw_data!C19</f>
        <v>Bowler</v>
      </c>
      <c r="D7">
        <f>raw_data!D19</f>
        <v>10</v>
      </c>
      <c r="E7">
        <f>raw_data!E19</f>
        <v>45</v>
      </c>
      <c r="F7">
        <f>raw_data!F19</f>
        <v>30</v>
      </c>
      <c r="G7">
        <f>raw_data!I19</f>
        <v>12</v>
      </c>
      <c r="H7">
        <f>raw_data!J19</f>
        <v>36</v>
      </c>
      <c r="I7">
        <f>raw_data!K19</f>
        <v>300</v>
      </c>
      <c r="J7" s="5">
        <f>IF(F7=0,"",(E7/F7)*100)</f>
        <v>150</v>
      </c>
      <c r="K7" s="5">
        <f>IF(D7=0,"",E7/D7)</f>
        <v>4.5</v>
      </c>
      <c r="L7" s="5">
        <f>IF(H7=0,"",I7/H7)</f>
        <v>8.3333333333333339</v>
      </c>
      <c r="M7" s="5">
        <f>IF(G7=0,"",I7/G7)</f>
        <v>25</v>
      </c>
      <c r="N7" s="5">
        <f>IF(C7="Batsman",
(J7/$J$62*0.6)+(K7/$K$62*0.4),
IF(C7="Wicketkeeper",
(J7/$J$62*0.55)+(K7/$K$62*0.45),
IF(C7="Bowler",
(($L$62/L7)*0.55)+(($M$62/M7)*0.45),
(J7/$J$62*0.35)+(K7/$K$62*0.25)+(($L$62/L7)*0.2)+(($M$62/M7)*0.2)
)))</f>
        <v>9.3061289586867098</v>
      </c>
      <c r="O7" s="5">
        <f>N7/raw_data!N19</f>
        <v>1.2408171944915614</v>
      </c>
    </row>
    <row r="8" spans="1:15" x14ac:dyDescent="0.25">
      <c r="A8" t="str">
        <f>raw_data!A31</f>
        <v>P030</v>
      </c>
      <c r="B8" t="str">
        <f>raw_data!B31</f>
        <v>Tarun Sethi</v>
      </c>
      <c r="C8" t="str">
        <f>raw_data!C31</f>
        <v>Bowler</v>
      </c>
      <c r="D8">
        <f>raw_data!D31</f>
        <v>11</v>
      </c>
      <c r="E8">
        <f>raw_data!E31</f>
        <v>65</v>
      </c>
      <c r="F8">
        <f>raw_data!F31</f>
        <v>48</v>
      </c>
      <c r="G8">
        <f>raw_data!I31</f>
        <v>14</v>
      </c>
      <c r="H8">
        <f>raw_data!J31</f>
        <v>39</v>
      </c>
      <c r="I8">
        <f>raw_data!K31</f>
        <v>315</v>
      </c>
      <c r="J8" s="5">
        <f>IF(F8=0,"",(E8/F8)*100)</f>
        <v>135.41666666666669</v>
      </c>
      <c r="K8" s="5">
        <f>IF(D8=0,"",E8/D8)</f>
        <v>5.9090909090909092</v>
      </c>
      <c r="L8" s="5">
        <f>IF(H8=0,"",I8/H8)</f>
        <v>8.0769230769230766</v>
      </c>
      <c r="M8" s="5">
        <f>IF(G8=0,"",I8/G8)</f>
        <v>22.5</v>
      </c>
      <c r="N8" s="5">
        <f>IF(C8="Batsman",
(J8/$J$62*0.6)+(K8/$K$62*0.4),
IF(C8="Wicketkeeper",
(J8/$J$62*0.55)+(K8/$K$62*0.45),
IF(C8="Bowler",
(($L$62/L8)*0.55)+(($M$62/M8)*0.45),
(J8/$J$62*0.35)+(K8/$K$62*0.25)+(($L$62/L8)*0.2)+(($M$62/M8)*0.2)
)))</f>
        <v>9.6336785134952798</v>
      </c>
      <c r="O8" s="5">
        <f>N8/raw_data!N31</f>
        <v>1.146866489701819</v>
      </c>
    </row>
    <row r="9" spans="1:15" x14ac:dyDescent="0.25">
      <c r="A9" t="str">
        <f>raw_data!A23</f>
        <v>P022</v>
      </c>
      <c r="B9" t="str">
        <f>raw_data!B23</f>
        <v>Rahul Divate</v>
      </c>
      <c r="C9" t="str">
        <f>raw_data!C23</f>
        <v>Bowler</v>
      </c>
      <c r="D9">
        <f>raw_data!D23</f>
        <v>12</v>
      </c>
      <c r="E9">
        <f>raw_data!E23</f>
        <v>60</v>
      </c>
      <c r="F9">
        <f>raw_data!F23</f>
        <v>45</v>
      </c>
      <c r="G9">
        <f>raw_data!I23</f>
        <v>14</v>
      </c>
      <c r="H9">
        <f>raw_data!J23</f>
        <v>40</v>
      </c>
      <c r="I9">
        <f>raw_data!K23</f>
        <v>330</v>
      </c>
      <c r="J9" s="5">
        <f>IF(F9=0,"",(E9/F9)*100)</f>
        <v>133.33333333333331</v>
      </c>
      <c r="K9" s="5">
        <f>IF(D9=0,"",E9/D9)</f>
        <v>5</v>
      </c>
      <c r="L9" s="5">
        <f>IF(H9=0,"",I9/H9)</f>
        <v>8.25</v>
      </c>
      <c r="M9" s="5">
        <f>IF(G9=0,"",I9/G9)</f>
        <v>23.571428571428573</v>
      </c>
      <c r="N9" s="5">
        <f>IF(C9="Batsman",
(J9/$J$62*0.6)+(K9/$K$62*0.4),
IF(C9="Wicketkeeper",
(J9/$J$62*0.55)+(K9/$K$62*0.45),
IF(C9="Bowler",
(($L$62/L9)*0.55)+(($M$62/M9)*0.45),
(J9/$J$62*0.35)+(K9/$K$62*0.25)+(($L$62/L9)*0.2)+(($M$62/M9)*0.2)
)))</f>
        <v>9.4205682818609855</v>
      </c>
      <c r="O9" s="5">
        <f>N9/raw_data!N23</f>
        <v>1.0584908181866275</v>
      </c>
    </row>
    <row r="10" spans="1:15" x14ac:dyDescent="0.25">
      <c r="A10" t="str">
        <f>raw_data!A18</f>
        <v>P017</v>
      </c>
      <c r="B10" t="str">
        <f>raw_data!B18</f>
        <v>Siddharth Kaulkar</v>
      </c>
      <c r="C10" t="str">
        <f>raw_data!C18</f>
        <v>Bowler</v>
      </c>
      <c r="D10">
        <f>raw_data!D18</f>
        <v>11</v>
      </c>
      <c r="E10">
        <f>raw_data!E18</f>
        <v>70</v>
      </c>
      <c r="F10">
        <f>raw_data!F18</f>
        <v>50</v>
      </c>
      <c r="G10">
        <f>raw_data!I18</f>
        <v>15</v>
      </c>
      <c r="H10">
        <f>raw_data!J18</f>
        <v>42</v>
      </c>
      <c r="I10">
        <f>raw_data!K18</f>
        <v>340</v>
      </c>
      <c r="J10" s="5">
        <f>IF(F10=0,"",(E10/F10)*100)</f>
        <v>140</v>
      </c>
      <c r="K10" s="5">
        <f>IF(D10=0,"",E10/D10)</f>
        <v>6.3636363636363633</v>
      </c>
      <c r="L10" s="5">
        <f>IF(H10=0,"",I10/H10)</f>
        <v>8.0952380952380949</v>
      </c>
      <c r="M10" s="5">
        <f>IF(G10=0,"",I10/G10)</f>
        <v>22.666666666666668</v>
      </c>
      <c r="N10" s="5">
        <f>IF(C10="Batsman",
(J10/$J$62*0.6)+(K10/$K$62*0.4),
IF(C10="Wicketkeeper",
(J10/$J$62*0.55)+(K10/$K$62*0.45),
IF(C10="Bowler",
(($L$62/L10)*0.55)+(($M$62/M10)*0.45),
(J10/$J$62*0.35)+(K10/$K$62*0.25)+(($L$62/L10)*0.2)+(($M$62/M10)*0.2)
)))</f>
        <v>9.6095939874064147</v>
      </c>
      <c r="O10" s="5">
        <f>N10/raw_data!N18</f>
        <v>0.99067979251612526</v>
      </c>
    </row>
    <row r="11" spans="1:15" x14ac:dyDescent="0.25">
      <c r="A11" t="str">
        <f>raw_data!A26</f>
        <v>P025</v>
      </c>
      <c r="B11" t="str">
        <f>raw_data!B26</f>
        <v>Gagan Trivedi</v>
      </c>
      <c r="C11" t="str">
        <f>raw_data!C26</f>
        <v>Bowler</v>
      </c>
      <c r="D11">
        <f>raw_data!D26</f>
        <v>11</v>
      </c>
      <c r="E11">
        <f>raw_data!E26</f>
        <v>75</v>
      </c>
      <c r="F11">
        <f>raw_data!F26</f>
        <v>55</v>
      </c>
      <c r="G11">
        <f>raw_data!I26</f>
        <v>16</v>
      </c>
      <c r="H11">
        <f>raw_data!J26</f>
        <v>45</v>
      </c>
      <c r="I11">
        <f>raw_data!K26</f>
        <v>360</v>
      </c>
      <c r="J11" s="5">
        <f>IF(F11=0,"",(E11/F11)*100)</f>
        <v>136.36363636363635</v>
      </c>
      <c r="K11" s="5">
        <f>IF(D11=0,"",E11/D11)</f>
        <v>6.8181818181818183</v>
      </c>
      <c r="L11" s="5">
        <f>IF(H11=0,"",I11/H11)</f>
        <v>8</v>
      </c>
      <c r="M11" s="5">
        <f>IF(G11=0,"",I11/G11)</f>
        <v>22.5</v>
      </c>
      <c r="N11" s="5">
        <f>IF(C11="Batsman",
(J11/$J$62*0.6)+(K11/$K$62*0.4),
IF(C11="Wicketkeeper",
(J11/$J$62*0.55)+(K11/$K$62*0.45),
IF(C11="Bowler",
(($L$62/L11)*0.55)+(($M$62/M11)*0.45),
(J11/$J$62*0.35)+(K11/$K$62*0.25)+(($L$62/L11)*0.2)+(($M$62/M11)*0.2)
)))</f>
        <v>9.7219866102370798</v>
      </c>
      <c r="O11" s="5">
        <f>N11/raw_data!N26</f>
        <v>0.91716854813557358</v>
      </c>
    </row>
    <row r="12" spans="1:15" x14ac:dyDescent="0.25">
      <c r="A12" t="str">
        <f>raw_data!A29</f>
        <v>P028</v>
      </c>
      <c r="B12" t="str">
        <f>raw_data!B29</f>
        <v>Keshav Rawat</v>
      </c>
      <c r="C12" t="str">
        <f>raw_data!C29</f>
        <v>Bowler</v>
      </c>
      <c r="D12">
        <f>raw_data!D29</f>
        <v>12</v>
      </c>
      <c r="E12">
        <f>raw_data!E29</f>
        <v>90</v>
      </c>
      <c r="F12">
        <f>raw_data!F29</f>
        <v>65</v>
      </c>
      <c r="G12">
        <f>raw_data!I29</f>
        <v>17</v>
      </c>
      <c r="H12">
        <f>raw_data!J29</f>
        <v>44</v>
      </c>
      <c r="I12">
        <f>raw_data!K29</f>
        <v>350</v>
      </c>
      <c r="J12" s="5">
        <f>IF(F12=0,"",(E12/F12)*100)</f>
        <v>138.46153846153845</v>
      </c>
      <c r="K12" s="5">
        <f>IF(D12=0,"",E12/D12)</f>
        <v>7.5</v>
      </c>
      <c r="L12" s="5">
        <f>IF(H12=0,"",I12/H12)</f>
        <v>7.9545454545454541</v>
      </c>
      <c r="M12" s="5">
        <f>IF(G12=0,"",I12/G12)</f>
        <v>20.588235294117649</v>
      </c>
      <c r="N12" s="5">
        <f>IF(C12="Batsman",
(J12/$J$62*0.6)+(K12/$K$62*0.4),
IF(C12="Wicketkeeper",
(J12/$J$62*0.55)+(K12/$K$62*0.45),
IF(C12="Bowler",
(($L$62/L12)*0.55)+(($M$62/M12)*0.45),
(J12/$J$62*0.35)+(K12/$K$62*0.25)+(($L$62/L12)*0.2)+(($M$62/M12)*0.2)
)))</f>
        <v>9.8167234245716237</v>
      </c>
      <c r="O12" s="5">
        <f>N12/raw_data!N29</f>
        <v>0.8764931629081808</v>
      </c>
    </row>
    <row r="13" spans="1:15" x14ac:dyDescent="0.25">
      <c r="A13" t="str">
        <f>raw_data!A17</f>
        <v>P016</v>
      </c>
      <c r="B13" t="str">
        <f>raw_data!B17</f>
        <v>Arjun Bhalerao</v>
      </c>
      <c r="C13" t="str">
        <f>raw_data!C17</f>
        <v>Bowler</v>
      </c>
      <c r="D13">
        <f>raw_data!D17</f>
        <v>12</v>
      </c>
      <c r="E13">
        <f>raw_data!E17</f>
        <v>85</v>
      </c>
      <c r="F13">
        <f>raw_data!F17</f>
        <v>60</v>
      </c>
      <c r="G13">
        <f>raw_data!I17</f>
        <v>18</v>
      </c>
      <c r="H13">
        <f>raw_data!J17</f>
        <v>48</v>
      </c>
      <c r="I13">
        <f>raw_data!K17</f>
        <v>390</v>
      </c>
      <c r="J13" s="5">
        <f>IF(F13=0,"",(E13/F13)*100)</f>
        <v>141.66666666666669</v>
      </c>
      <c r="K13" s="5">
        <f>IF(D13=0,"",E13/D13)</f>
        <v>7.083333333333333</v>
      </c>
      <c r="L13" s="5">
        <f>IF(H13=0,"",I13/H13)</f>
        <v>8.125</v>
      </c>
      <c r="M13" s="5">
        <f>IF(G13=0,"",I13/G13)</f>
        <v>21.666666666666668</v>
      </c>
      <c r="N13" s="5">
        <f>IF(C13="Batsman",
(J13/$J$62*0.6)+(K13/$K$62*0.4),
IF(C13="Wicketkeeper",
(J13/$J$62*0.55)+(K13/$K$62*0.45),
IF(C13="Bowler",
(($L$62/L13)*0.55)+(($M$62/M13)*0.45),
(J13/$J$62*0.35)+(K13/$K$62*0.25)+(($L$62/L13)*0.2)+(($M$62/M13)*0.2)
)))</f>
        <v>9.5966287790521747</v>
      </c>
      <c r="O13" s="5">
        <f>N13/raw_data!N17</f>
        <v>0.81327362534340464</v>
      </c>
    </row>
    <row r="14" spans="1:15" x14ac:dyDescent="0.25">
      <c r="A14" t="str">
        <f>raw_data!A39</f>
        <v>P038</v>
      </c>
      <c r="B14" t="str">
        <f>raw_data!B39</f>
        <v>Arpit Bansal</v>
      </c>
      <c r="C14" t="str">
        <f>raw_data!C39</f>
        <v>All-Rounder</v>
      </c>
      <c r="D14">
        <f>raw_data!D39</f>
        <v>8</v>
      </c>
      <c r="E14">
        <f>raw_data!E39</f>
        <v>160</v>
      </c>
      <c r="F14">
        <f>raw_data!F39</f>
        <v>125</v>
      </c>
      <c r="G14">
        <f>raw_data!I39</f>
        <v>6</v>
      </c>
      <c r="H14">
        <f>raw_data!J39</f>
        <v>18</v>
      </c>
      <c r="I14">
        <f>raw_data!K39</f>
        <v>160</v>
      </c>
      <c r="J14" s="5">
        <f>IF(F14=0,"",(E14/F14)*100)</f>
        <v>128</v>
      </c>
      <c r="K14" s="5">
        <f>IF(D14=0,"",E14/D14)</f>
        <v>20</v>
      </c>
      <c r="L14" s="5">
        <f>IF(H14=0,"",I14/H14)</f>
        <v>8.8888888888888893</v>
      </c>
      <c r="M14" s="5">
        <f>IF(G14=0,"",I14/G14)</f>
        <v>26.666666666666668</v>
      </c>
      <c r="N14" s="5">
        <f>IF(C14="Batsman",
(J14/$J$62*0.6)+(K14/$K$62*0.4),
IF(C14="Wicketkeeper",
(J14/$J$62*0.55)+(K14/$K$62*0.45),
IF(C14="Bowler",
(($L$62/L14)*0.55)+(($M$62/M14)*0.45),
(J14/$J$62*0.35)+(K14/$K$62*0.25)+(($L$62/L14)*0.2)+(($M$62/M14)*0.2)
)))</f>
        <v>3.7551441153259884</v>
      </c>
      <c r="O14" s="5">
        <f>N14/raw_data!N39</f>
        <v>0.7221430991011516</v>
      </c>
    </row>
    <row r="15" spans="1:15" x14ac:dyDescent="0.25">
      <c r="A15" t="str">
        <f>raw_data!A27</f>
        <v>P026</v>
      </c>
      <c r="B15" t="str">
        <f>raw_data!B27</f>
        <v>Ritwik Sahaal</v>
      </c>
      <c r="C15" t="str">
        <f>raw_data!C27</f>
        <v>Bowler</v>
      </c>
      <c r="D15">
        <f>raw_data!D27</f>
        <v>13</v>
      </c>
      <c r="E15">
        <f>raw_data!E27</f>
        <v>100</v>
      </c>
      <c r="F15">
        <f>raw_data!F27</f>
        <v>78</v>
      </c>
      <c r="G15">
        <f>raw_data!I27</f>
        <v>19</v>
      </c>
      <c r="H15">
        <f>raw_data!J27</f>
        <v>48</v>
      </c>
      <c r="I15">
        <f>raw_data!K27</f>
        <v>410</v>
      </c>
      <c r="J15" s="5">
        <f>IF(F15=0,"",(E15/F15)*100)</f>
        <v>128.2051282051282</v>
      </c>
      <c r="K15" s="5">
        <f>IF(D15=0,"",E15/D15)</f>
        <v>7.6923076923076925</v>
      </c>
      <c r="L15" s="5">
        <f>IF(H15=0,"",I15/H15)</f>
        <v>8.5416666666666661</v>
      </c>
      <c r="M15" s="5">
        <f>IF(G15=0,"",I15/G15)</f>
        <v>21.578947368421051</v>
      </c>
      <c r="N15" s="5">
        <f>IF(C15="Batsman",
(J15/$J$62*0.6)+(K15/$K$62*0.4),
IF(C15="Wicketkeeper",
(J15/$J$62*0.55)+(K15/$K$62*0.45),
IF(C15="Bowler",
(($L$62/L15)*0.55)+(($M$62/M15)*0.45),
(J15/$J$62*0.35)+(K15/$K$62*0.25)+(($L$62/L15)*0.2)+(($M$62/M15)*0.2)
)))</f>
        <v>9.1531757170931236</v>
      </c>
      <c r="O15" s="5">
        <f>N15/raw_data!N27</f>
        <v>0.68307281470844206</v>
      </c>
    </row>
    <row r="16" spans="1:15" x14ac:dyDescent="0.25">
      <c r="A16" t="str">
        <f>raw_data!A20</f>
        <v>P019</v>
      </c>
      <c r="B16" t="str">
        <f>raw_data!B20</f>
        <v>Laksh Nayak</v>
      </c>
      <c r="C16" t="str">
        <f>raw_data!C20</f>
        <v>Bowler</v>
      </c>
      <c r="D16">
        <f>raw_data!D20</f>
        <v>13</v>
      </c>
      <c r="E16">
        <f>raw_data!E20</f>
        <v>110</v>
      </c>
      <c r="F16">
        <f>raw_data!F20</f>
        <v>75</v>
      </c>
      <c r="G16">
        <f>raw_data!I20</f>
        <v>20</v>
      </c>
      <c r="H16">
        <f>raw_data!J20</f>
        <v>52</v>
      </c>
      <c r="I16">
        <f>raw_data!K20</f>
        <v>430</v>
      </c>
      <c r="J16" s="5">
        <f>IF(F16=0,"",(E16/F16)*100)</f>
        <v>146.66666666666666</v>
      </c>
      <c r="K16" s="5">
        <f>IF(D16=0,"",E16/D16)</f>
        <v>8.4615384615384617</v>
      </c>
      <c r="L16" s="5">
        <f>IF(H16=0,"",I16/H16)</f>
        <v>8.2692307692307701</v>
      </c>
      <c r="M16" s="5">
        <f>IF(G16=0,"",I16/G16)</f>
        <v>21.5</v>
      </c>
      <c r="N16" s="5">
        <f>IF(C16="Batsman",
(J16/$J$62*0.6)+(K16/$K$62*0.4),
IF(C16="Wicketkeeper",
(J16/$J$62*0.55)+(K16/$K$62*0.45),
IF(C16="Bowler",
(($L$62/L16)*0.55)+(($M$62/M16)*0.45),
(J16/$J$62*0.35)+(K16/$K$62*0.25)+(($L$62/L16)*0.2)+(($M$62/M16)*0.2)
)))</f>
        <v>9.4410094633452548</v>
      </c>
      <c r="O16" s="5">
        <f>N16/raw_data!N20</f>
        <v>0.6648598213623419</v>
      </c>
    </row>
    <row r="17" spans="1:15" x14ac:dyDescent="0.25">
      <c r="A17" t="str">
        <f>raw_data!A22</f>
        <v>P021</v>
      </c>
      <c r="B17" t="str">
        <f>raw_data!B22</f>
        <v>Parth Keni</v>
      </c>
      <c r="C17" t="str">
        <f>raw_data!C22</f>
        <v>Bowler</v>
      </c>
      <c r="D17">
        <f>raw_data!D22</f>
        <v>14</v>
      </c>
      <c r="E17">
        <f>raw_data!E22</f>
        <v>95</v>
      </c>
      <c r="F17">
        <f>raw_data!F22</f>
        <v>70</v>
      </c>
      <c r="G17">
        <f>raw_data!I22</f>
        <v>22</v>
      </c>
      <c r="H17">
        <f>raw_data!J22</f>
        <v>50</v>
      </c>
      <c r="I17">
        <f>raw_data!K22</f>
        <v>420</v>
      </c>
      <c r="J17" s="5">
        <f>IF(F17=0,"",(E17/F17)*100)</f>
        <v>135.71428571428572</v>
      </c>
      <c r="K17" s="5">
        <f>IF(D17=0,"",E17/D17)</f>
        <v>6.7857142857142856</v>
      </c>
      <c r="L17" s="5">
        <f>IF(H17=0,"",I17/H17)</f>
        <v>8.4</v>
      </c>
      <c r="M17" s="5">
        <f>IF(G17=0,"",I17/G17)</f>
        <v>19.09090909090909</v>
      </c>
      <c r="N17" s="5">
        <f>IF(C17="Batsman",
(J17/$J$62*0.6)+(K17/$K$62*0.4),
IF(C17="Wicketkeeper",
(J17/$J$62*0.55)+(K17/$K$62*0.45),
IF(C17="Bowler",
(($L$62/L17)*0.55)+(($M$62/M17)*0.45),
(J17/$J$62*0.35)+(K17/$K$62*0.25)+(($L$62/L17)*0.2)+(($M$62/M17)*0.2)
)))</f>
        <v>9.3607383501616663</v>
      </c>
      <c r="O17" s="5">
        <f>N17/raw_data!N22</f>
        <v>0.60391860323623658</v>
      </c>
    </row>
    <row r="18" spans="1:15" x14ac:dyDescent="0.25">
      <c r="A18" t="str">
        <f>raw_data!A36</f>
        <v>P035</v>
      </c>
      <c r="B18" t="str">
        <f>raw_data!B36</f>
        <v>Soham Borkar</v>
      </c>
      <c r="C18" t="str">
        <f>raw_data!C36</f>
        <v>All-Rounder</v>
      </c>
      <c r="D18">
        <f>raw_data!D36</f>
        <v>9</v>
      </c>
      <c r="E18">
        <f>raw_data!E36</f>
        <v>180</v>
      </c>
      <c r="F18">
        <f>raw_data!F36</f>
        <v>130</v>
      </c>
      <c r="G18">
        <f>raw_data!I36</f>
        <v>7</v>
      </c>
      <c r="H18">
        <f>raw_data!J36</f>
        <v>20</v>
      </c>
      <c r="I18">
        <f>raw_data!K36</f>
        <v>190</v>
      </c>
      <c r="J18" s="5">
        <f>IF(F18=0,"",(E18/F18)*100)</f>
        <v>138.46153846153845</v>
      </c>
      <c r="K18" s="5">
        <f>IF(D18=0,"",E18/D18)</f>
        <v>20</v>
      </c>
      <c r="L18" s="5">
        <f>IF(H18=0,"",I18/H18)</f>
        <v>9.5</v>
      </c>
      <c r="M18" s="5">
        <f>IF(G18=0,"",I18/G18)</f>
        <v>27.142857142857142</v>
      </c>
      <c r="N18" s="5">
        <f>IF(C18="Batsman",
(J18/$J$62*0.6)+(K18/$K$62*0.4),
IF(C18="Wicketkeeper",
(J18/$J$62*0.55)+(K18/$K$62*0.45),
IF(C18="Bowler",
(($L$62/L18)*0.55)+(($M$62/M18)*0.45),
(J18/$J$62*0.35)+(K18/$K$62*0.25)+(($L$62/L18)*0.2)+(($M$62/M18)*0.2)
)))</f>
        <v>3.584127149034158</v>
      </c>
      <c r="O18" s="5">
        <f>N18/raw_data!N36</f>
        <v>0.56890907127526313</v>
      </c>
    </row>
    <row r="19" spans="1:15" x14ac:dyDescent="0.25">
      <c r="A19" t="str">
        <f>raw_data!A44</f>
        <v>P043</v>
      </c>
      <c r="B19" t="str">
        <f>raw_data!B44</f>
        <v>Prerit Anand</v>
      </c>
      <c r="C19" t="str">
        <f>raw_data!C44</f>
        <v>All-Rounder</v>
      </c>
      <c r="D19">
        <f>raw_data!D44</f>
        <v>9</v>
      </c>
      <c r="E19">
        <f>raw_data!E44</f>
        <v>190</v>
      </c>
      <c r="F19">
        <f>raw_data!F44</f>
        <v>150</v>
      </c>
      <c r="G19">
        <f>raw_data!I44</f>
        <v>7</v>
      </c>
      <c r="H19">
        <f>raw_data!J44</f>
        <v>22</v>
      </c>
      <c r="I19">
        <f>raw_data!K44</f>
        <v>200</v>
      </c>
      <c r="J19" s="5">
        <f>IF(F19=0,"",(E19/F19)*100)</f>
        <v>126.66666666666666</v>
      </c>
      <c r="K19" s="5">
        <f>IF(D19=0,"",E19/D19)</f>
        <v>21.111111111111111</v>
      </c>
      <c r="L19" s="5">
        <f>IF(H19=0,"",I19/H19)</f>
        <v>9.0909090909090917</v>
      </c>
      <c r="M19" s="5">
        <f>IF(G19=0,"",I19/G19)</f>
        <v>28.571428571428573</v>
      </c>
      <c r="N19" s="5">
        <f>IF(C19="Batsman",
(J19/$J$62*0.6)+(K19/$K$62*0.4),
IF(C19="Wicketkeeper",
(J19/$J$62*0.55)+(K19/$K$62*0.45),
IF(C19="Bowler",
(($L$62/L19)*0.55)+(($M$62/M19)*0.45),
(J19/$J$62*0.35)+(K19/$K$62*0.25)+(($L$62/L19)*0.2)+(($M$62/M19)*0.2)
)))</f>
        <v>3.6852174192921088</v>
      </c>
      <c r="O19" s="5">
        <f>N19/raw_data!N44</f>
        <v>0.54194373813119245</v>
      </c>
    </row>
    <row r="20" spans="1:15" x14ac:dyDescent="0.25">
      <c r="A20" t="str">
        <f>raw_data!A34</f>
        <v>P033</v>
      </c>
      <c r="B20" t="str">
        <f>raw_data!B34</f>
        <v>Dhruv Menon</v>
      </c>
      <c r="C20" t="str">
        <f>raw_data!C34</f>
        <v>All-Rounder</v>
      </c>
      <c r="D20">
        <f>raw_data!D34</f>
        <v>10</v>
      </c>
      <c r="E20">
        <f>raw_data!E34</f>
        <v>210</v>
      </c>
      <c r="F20">
        <f>raw_data!F34</f>
        <v>160</v>
      </c>
      <c r="G20">
        <f>raw_data!I34</f>
        <v>8</v>
      </c>
      <c r="H20">
        <f>raw_data!J34</f>
        <v>24</v>
      </c>
      <c r="I20">
        <f>raw_data!K34</f>
        <v>210</v>
      </c>
      <c r="J20" s="5">
        <f>IF(F20=0,"",(E20/F20)*100)</f>
        <v>131.25</v>
      </c>
      <c r="K20" s="5">
        <f>IF(D20=0,"",E20/D20)</f>
        <v>21</v>
      </c>
      <c r="L20" s="5">
        <f>IF(H20=0,"",I20/H20)</f>
        <v>8.75</v>
      </c>
      <c r="M20" s="5">
        <f>IF(G20=0,"",I20/G20)</f>
        <v>26.25</v>
      </c>
      <c r="N20" s="5">
        <f>IF(C20="Batsman",
(J20/$J$62*0.6)+(K20/$K$62*0.4),
IF(C20="Wicketkeeper",
(J20/$J$62*0.55)+(K20/$K$62*0.45),
IF(C20="Bowler",
(($L$62/L20)*0.55)+(($M$62/M20)*0.45),
(J20/$J$62*0.35)+(K20/$K$62*0.25)+(($L$62/L20)*0.2)+(($M$62/M20)*0.2)
)))</f>
        <v>3.8254112263683746</v>
      </c>
      <c r="O20" s="5">
        <f>N20/raw_data!N34</f>
        <v>0.47227299090967589</v>
      </c>
    </row>
    <row r="21" spans="1:15" x14ac:dyDescent="0.25">
      <c r="A21" t="str">
        <f>raw_data!A41</f>
        <v>P040</v>
      </c>
      <c r="B21" t="str">
        <f>raw_data!B41</f>
        <v>Manav Reddy</v>
      </c>
      <c r="C21" t="str">
        <f>raw_data!C41</f>
        <v>All-Rounder</v>
      </c>
      <c r="D21">
        <f>raw_data!D41</f>
        <v>10</v>
      </c>
      <c r="E21">
        <f>raw_data!E41</f>
        <v>220</v>
      </c>
      <c r="F21">
        <f>raw_data!F41</f>
        <v>170</v>
      </c>
      <c r="G21">
        <f>raw_data!I41</f>
        <v>9</v>
      </c>
      <c r="H21">
        <f>raw_data!J41</f>
        <v>26</v>
      </c>
      <c r="I21">
        <f>raw_data!K41</f>
        <v>230</v>
      </c>
      <c r="J21" s="5">
        <f>IF(F21=0,"",(E21/F21)*100)</f>
        <v>129.41176470588235</v>
      </c>
      <c r="K21" s="5">
        <f>IF(D21=0,"",E21/D21)</f>
        <v>22</v>
      </c>
      <c r="L21" s="5">
        <f>IF(H21=0,"",I21/H21)</f>
        <v>8.8461538461538467</v>
      </c>
      <c r="M21" s="5">
        <f>IF(G21=0,"",I21/G21)</f>
        <v>25.555555555555557</v>
      </c>
      <c r="N21" s="5">
        <f>IF(C21="Batsman",
(J21/$J$62*0.6)+(K21/$K$62*0.4),
IF(C21="Wicketkeeper",
(J21/$J$62*0.55)+(K21/$K$62*0.45),
IF(C21="Bowler",
(($L$62/L21)*0.55)+(($M$62/M21)*0.45),
(J21/$J$62*0.35)+(K21/$K$62*0.25)+(($L$62/L21)*0.2)+(($M$62/M21)*0.2)
)))</f>
        <v>3.8027759053376782</v>
      </c>
      <c r="O21" s="5">
        <f>N21/raw_data!N41</f>
        <v>0.41788746212501959</v>
      </c>
    </row>
    <row r="22" spans="1:15" x14ac:dyDescent="0.25">
      <c r="A22" t="str">
        <f>raw_data!A46</f>
        <v>P045</v>
      </c>
      <c r="B22" t="str">
        <f>raw_data!B46</f>
        <v>Yatin Choudhary</v>
      </c>
      <c r="C22" t="str">
        <f>raw_data!C46</f>
        <v>All-Rounder</v>
      </c>
      <c r="D22">
        <f>raw_data!D46</f>
        <v>10</v>
      </c>
      <c r="E22">
        <f>raw_data!E46</f>
        <v>240</v>
      </c>
      <c r="F22">
        <f>raw_data!F46</f>
        <v>185</v>
      </c>
      <c r="G22">
        <f>raw_data!I46</f>
        <v>9</v>
      </c>
      <c r="H22">
        <f>raw_data!J46</f>
        <v>25</v>
      </c>
      <c r="I22">
        <f>raw_data!K46</f>
        <v>220</v>
      </c>
      <c r="J22" s="5">
        <f>IF(F22=0,"",(E22/F22)*100)</f>
        <v>129.72972972972974</v>
      </c>
      <c r="K22" s="5">
        <f>IF(D22=0,"",E22/D22)</f>
        <v>24</v>
      </c>
      <c r="L22" s="5">
        <f>IF(H22=0,"",I22/H22)</f>
        <v>8.8000000000000007</v>
      </c>
      <c r="M22" s="5">
        <f>IF(G22=0,"",I22/G22)</f>
        <v>24.444444444444443</v>
      </c>
      <c r="N22" s="5">
        <f>IF(C22="Batsman",
(J22/$J$62*0.6)+(K22/$K$62*0.4),
IF(C22="Wicketkeeper",
(J22/$J$62*0.55)+(K22/$K$62*0.45),
IF(C22="Bowler",
(($L$62/L22)*0.55)+(($M$62/M22)*0.45),
(J22/$J$62*0.35)+(K22/$K$62*0.25)+(($L$62/L22)*0.2)+(($M$62/M22)*0.2)
)))</f>
        <v>3.8495683666583496</v>
      </c>
      <c r="O22" s="5">
        <f>N22/raw_data!N46</f>
        <v>0.41393208243638163</v>
      </c>
    </row>
    <row r="23" spans="1:15" x14ac:dyDescent="0.25">
      <c r="A23" t="str">
        <f>raw_data!A33</f>
        <v>P032</v>
      </c>
      <c r="B23" t="str">
        <f>raw_data!B33</f>
        <v>Amitesh Pillai</v>
      </c>
      <c r="C23" t="str">
        <f>raw_data!C33</f>
        <v>All-Rounder</v>
      </c>
      <c r="D23">
        <f>raw_data!D33</f>
        <v>11</v>
      </c>
      <c r="E23">
        <f>raw_data!E33</f>
        <v>260</v>
      </c>
      <c r="F23">
        <f>raw_data!F33</f>
        <v>200</v>
      </c>
      <c r="G23">
        <f>raw_data!I33</f>
        <v>10</v>
      </c>
      <c r="H23">
        <f>raw_data!J33</f>
        <v>28</v>
      </c>
      <c r="I23">
        <f>raw_data!K33</f>
        <v>250</v>
      </c>
      <c r="J23" s="5">
        <f>IF(F23=0,"",(E23/F23)*100)</f>
        <v>130</v>
      </c>
      <c r="K23" s="5">
        <f>IF(D23=0,"",E23/D23)</f>
        <v>23.636363636363637</v>
      </c>
      <c r="L23" s="5">
        <f>IF(H23=0,"",I23/H23)</f>
        <v>8.9285714285714288</v>
      </c>
      <c r="M23" s="5">
        <f>IF(G23=0,"",I23/G23)</f>
        <v>25</v>
      </c>
      <c r="N23" s="5">
        <f>IF(C23="Batsman",
(J23/$J$62*0.6)+(K23/$K$62*0.4),
IF(C23="Wicketkeeper",
(J23/$J$62*0.55)+(K23/$K$62*0.45),
IF(C23="Bowler",
(($L$62/L23)*0.55)+(($M$62/M23)*0.45),
(J23/$J$62*0.35)+(K23/$K$62*0.25)+(($L$62/L23)*0.2)+(($M$62/M23)*0.2)
)))</f>
        <v>3.7980468156347444</v>
      </c>
      <c r="O23" s="5">
        <f>N23/raw_data!N33</f>
        <v>0.36519680919564851</v>
      </c>
    </row>
    <row r="24" spans="1:15" x14ac:dyDescent="0.25">
      <c r="A24" t="str">
        <f>raw_data!A45</f>
        <v>P044</v>
      </c>
      <c r="B24" t="str">
        <f>raw_data!B45</f>
        <v>Samarjeet Gill</v>
      </c>
      <c r="C24" t="str">
        <f>raw_data!C45</f>
        <v>All-Rounder</v>
      </c>
      <c r="D24">
        <f>raw_data!D45</f>
        <v>11</v>
      </c>
      <c r="E24">
        <f>raw_data!E45</f>
        <v>280</v>
      </c>
      <c r="F24">
        <f>raw_data!F45</f>
        <v>215</v>
      </c>
      <c r="G24">
        <f>raw_data!I45</f>
        <v>10</v>
      </c>
      <c r="H24">
        <f>raw_data!J45</f>
        <v>28</v>
      </c>
      <c r="I24">
        <f>raw_data!K45</f>
        <v>255</v>
      </c>
      <c r="J24" s="5">
        <f>IF(F24=0,"",(E24/F24)*100)</f>
        <v>130.23255813953489</v>
      </c>
      <c r="K24" s="5">
        <f>IF(D24=0,"",E24/D24)</f>
        <v>25.454545454545453</v>
      </c>
      <c r="L24" s="5">
        <f>IF(H24=0,"",I24/H24)</f>
        <v>9.1071428571428577</v>
      </c>
      <c r="M24" s="5">
        <f>IF(G24=0,"",I24/G24)</f>
        <v>25.5</v>
      </c>
      <c r="N24" s="5">
        <f>IF(C24="Batsman",
(J24/$J$62*0.6)+(K24/$K$62*0.4),
IF(C24="Wicketkeeper",
(J24/$J$62*0.55)+(K24/$K$62*0.45),
IF(C24="Bowler",
(($L$62/L24)*0.55)+(($M$62/M24)*0.45),
(J24/$J$62*0.35)+(K24/$K$62*0.25)+(($L$62/L24)*0.2)+(($M$62/M24)*0.2)
)))</f>
        <v>3.7558658431091638</v>
      </c>
      <c r="O24" s="5">
        <f>N24/raw_data!N45</f>
        <v>0.34457484799166638</v>
      </c>
    </row>
    <row r="25" spans="1:15" x14ac:dyDescent="0.25">
      <c r="A25" t="str">
        <f>raw_data!A38</f>
        <v>P037</v>
      </c>
      <c r="B25" t="str">
        <f>raw_data!B38</f>
        <v>Nirav Doshi</v>
      </c>
      <c r="C25" t="str">
        <f>raw_data!C38</f>
        <v>All-Rounder</v>
      </c>
      <c r="D25">
        <f>raw_data!D38</f>
        <v>12</v>
      </c>
      <c r="E25">
        <f>raw_data!E38</f>
        <v>275</v>
      </c>
      <c r="F25">
        <f>raw_data!F38</f>
        <v>205</v>
      </c>
      <c r="G25">
        <f>raw_data!I38</f>
        <v>11</v>
      </c>
      <c r="H25">
        <f>raw_data!J38</f>
        <v>30</v>
      </c>
      <c r="I25">
        <f>raw_data!K38</f>
        <v>270</v>
      </c>
      <c r="J25" s="5">
        <f>IF(F25=0,"",(E25/F25)*100)</f>
        <v>134.14634146341464</v>
      </c>
      <c r="K25" s="5">
        <f>IF(D25=0,"",E25/D25)</f>
        <v>22.916666666666668</v>
      </c>
      <c r="L25" s="5">
        <f>IF(H25=0,"",I25/H25)</f>
        <v>9</v>
      </c>
      <c r="M25" s="5">
        <f>IF(G25=0,"",I25/G25)</f>
        <v>24.545454545454547</v>
      </c>
      <c r="N25" s="5">
        <f>IF(C25="Batsman",
(J25/$J$62*0.6)+(K25/$K$62*0.4),
IF(C25="Wicketkeeper",
(J25/$J$62*0.55)+(K25/$K$62*0.45),
IF(C25="Bowler",
(($L$62/L25)*0.55)+(($M$62/M25)*0.45),
(J25/$J$62*0.35)+(K25/$K$62*0.25)+(($L$62/L25)*0.2)+(($M$62/M25)*0.2)
)))</f>
        <v>3.7802520727426483</v>
      </c>
      <c r="O25" s="5">
        <f>N25/raw_data!N38</f>
        <v>0.32871757154283898</v>
      </c>
    </row>
    <row r="26" spans="1:15" x14ac:dyDescent="0.25">
      <c r="A26" t="str">
        <f>raw_data!A42</f>
        <v>P041</v>
      </c>
      <c r="B26" t="str">
        <f>raw_data!B42</f>
        <v>Harit Shah</v>
      </c>
      <c r="C26" t="str">
        <f>raw_data!C42</f>
        <v>All-Rounder</v>
      </c>
      <c r="D26">
        <f>raw_data!D42</f>
        <v>12</v>
      </c>
      <c r="E26">
        <f>raw_data!E42</f>
        <v>310</v>
      </c>
      <c r="F26">
        <f>raw_data!F42</f>
        <v>240</v>
      </c>
      <c r="G26">
        <f>raw_data!I42</f>
        <v>12</v>
      </c>
      <c r="H26">
        <f>raw_data!J42</f>
        <v>32</v>
      </c>
      <c r="I26">
        <f>raw_data!K42</f>
        <v>285</v>
      </c>
      <c r="J26" s="5">
        <f>IF(F26=0,"",(E26/F26)*100)</f>
        <v>129.16666666666669</v>
      </c>
      <c r="K26" s="5">
        <f>IF(D26=0,"",E26/D26)</f>
        <v>25.833333333333332</v>
      </c>
      <c r="L26" s="5">
        <f>IF(H26=0,"",I26/H26)</f>
        <v>8.90625</v>
      </c>
      <c r="M26" s="5">
        <f>IF(G26=0,"",I26/G26)</f>
        <v>23.75</v>
      </c>
      <c r="N26" s="5">
        <f>IF(C26="Batsman",
(J26/$J$62*0.6)+(K26/$K$62*0.4),
IF(C26="Wicketkeeper",
(J26/$J$62*0.55)+(K26/$K$62*0.45),
IF(C26="Bowler",
(($L$62/L26)*0.55)+(($M$62/M26)*0.45),
(J26/$J$62*0.35)+(K26/$K$62*0.25)+(($L$62/L26)*0.2)+(($M$62/M26)*0.2)
)))</f>
        <v>3.837063662095102</v>
      </c>
      <c r="O26" s="5">
        <f>N26/raw_data!N42</f>
        <v>0.30944061791089533</v>
      </c>
    </row>
    <row r="27" spans="1:15" x14ac:dyDescent="0.25">
      <c r="A27" t="str">
        <f>raw_data!A32</f>
        <v>P031</v>
      </c>
      <c r="B27" t="str">
        <f>raw_data!B32</f>
        <v>Rohan Mankad</v>
      </c>
      <c r="C27" t="str">
        <f>raw_data!C32</f>
        <v>All-Rounder</v>
      </c>
      <c r="D27">
        <f>raw_data!D32</f>
        <v>12</v>
      </c>
      <c r="E27">
        <f>raw_data!E32</f>
        <v>320</v>
      </c>
      <c r="F27">
        <f>raw_data!F32</f>
        <v>240</v>
      </c>
      <c r="G27">
        <f>raw_data!I32</f>
        <v>12</v>
      </c>
      <c r="H27">
        <f>raw_data!J32</f>
        <v>32</v>
      </c>
      <c r="I27">
        <f>raw_data!K32</f>
        <v>290</v>
      </c>
      <c r="J27" s="5">
        <f>IF(F27=0,"",(E27/F27)*100)</f>
        <v>133.33333333333331</v>
      </c>
      <c r="K27" s="5">
        <f>IF(D27=0,"",E27/D27)</f>
        <v>26.666666666666668</v>
      </c>
      <c r="L27" s="5">
        <f>IF(H27=0,"",I27/H27)</f>
        <v>9.0625</v>
      </c>
      <c r="M27" s="5">
        <f>IF(G27=0,"",I27/G27)</f>
        <v>24.166666666666668</v>
      </c>
      <c r="N27" s="5">
        <f>IF(C27="Batsman",
(J27/$J$62*0.6)+(K27/$K$62*0.4),
IF(C27="Wicketkeeper",
(J27/$J$62*0.55)+(K27/$K$62*0.45),
IF(C27="Bowler",
(($L$62/L27)*0.55)+(($M$62/M27)*0.45),
(J27/$J$62*0.35)+(K27/$K$62*0.25)+(($L$62/L27)*0.2)+(($M$62/M27)*0.2)
)))</f>
        <v>3.8015510672515536</v>
      </c>
      <c r="O27" s="5">
        <f>N27/raw_data!N32</f>
        <v>0.29469388118229095</v>
      </c>
    </row>
    <row r="28" spans="1:15" x14ac:dyDescent="0.25">
      <c r="A28" t="str">
        <f>raw_data!A40</f>
        <v>P039</v>
      </c>
      <c r="B28" t="str">
        <f>raw_data!B40</f>
        <v>Siddhant Gokhale</v>
      </c>
      <c r="C28" t="str">
        <f>raw_data!C40</f>
        <v>All-Rounder</v>
      </c>
      <c r="D28">
        <f>raw_data!D40</f>
        <v>11</v>
      </c>
      <c r="E28">
        <f>raw_data!E40</f>
        <v>300</v>
      </c>
      <c r="F28">
        <f>raw_data!F40</f>
        <v>230</v>
      </c>
      <c r="G28">
        <f>raw_data!I40</f>
        <v>13</v>
      </c>
      <c r="H28">
        <f>raw_data!J40</f>
        <v>34</v>
      </c>
      <c r="I28">
        <f>raw_data!K40</f>
        <v>295</v>
      </c>
      <c r="J28" s="5">
        <f>IF(F28=0,"",(E28/F28)*100)</f>
        <v>130.43478260869566</v>
      </c>
      <c r="K28" s="5">
        <f>IF(D28=0,"",E28/D28)</f>
        <v>27.272727272727273</v>
      </c>
      <c r="L28" s="5">
        <f>IF(H28=0,"",I28/H28)</f>
        <v>8.6764705882352935</v>
      </c>
      <c r="M28" s="5">
        <f>IF(G28=0,"",I28/G28)</f>
        <v>22.692307692307693</v>
      </c>
      <c r="N28" s="5">
        <f>IF(C28="Batsman",
(J28/$J$62*0.6)+(K28/$K$62*0.4),
IF(C28="Wicketkeeper",
(J28/$J$62*0.55)+(K28/$K$62*0.45),
IF(C28="Bowler",
(($L$62/L28)*0.55)+(($M$62/M28)*0.45),
(J28/$J$62*0.35)+(K28/$K$62*0.25)+(($L$62/L28)*0.2)+(($M$62/M28)*0.2)
)))</f>
        <v>3.9452042429289049</v>
      </c>
      <c r="O28" s="5">
        <f>N28/raw_data!N40</f>
        <v>0.29008854727418421</v>
      </c>
    </row>
    <row r="29" spans="1:15" x14ac:dyDescent="0.25">
      <c r="A29" t="str">
        <f>raw_data!A43</f>
        <v>P042</v>
      </c>
      <c r="B29" t="str">
        <f>raw_data!B43</f>
        <v>Vikram Khurana</v>
      </c>
      <c r="C29" t="str">
        <f>raw_data!C43</f>
        <v>All-Rounder</v>
      </c>
      <c r="D29">
        <f>raw_data!D43</f>
        <v>13</v>
      </c>
      <c r="E29">
        <f>raw_data!E43</f>
        <v>330</v>
      </c>
      <c r="F29">
        <f>raw_data!F43</f>
        <v>250</v>
      </c>
      <c r="G29">
        <f>raw_data!I43</f>
        <v>14</v>
      </c>
      <c r="H29">
        <f>raw_data!J43</f>
        <v>35</v>
      </c>
      <c r="I29">
        <f>raw_data!K43</f>
        <v>305</v>
      </c>
      <c r="J29" s="5">
        <f>IF(F29=0,"",(E29/F29)*100)</f>
        <v>132</v>
      </c>
      <c r="K29" s="5">
        <f>IF(D29=0,"",E29/D29)</f>
        <v>25.384615384615383</v>
      </c>
      <c r="L29" s="5">
        <f>IF(H29=0,"",I29/H29)</f>
        <v>8.7142857142857135</v>
      </c>
      <c r="M29" s="5">
        <f>IF(G29=0,"",I29/G29)</f>
        <v>21.785714285714285</v>
      </c>
      <c r="N29" s="5">
        <f>IF(C29="Batsman",
(J29/$J$62*0.6)+(K29/$K$62*0.4),
IF(C29="Wicketkeeper",
(J29/$J$62*0.55)+(K29/$K$62*0.45),
IF(C29="Bowler",
(($L$62/L29)*0.55)+(($M$62/M29)*0.45),
(J29/$J$62*0.35)+(K29/$K$62*0.25)+(($L$62/L29)*0.2)+(($M$62/M29)*0.2)
)))</f>
        <v>3.923273155036028</v>
      </c>
      <c r="O29" s="5">
        <f>N29/raw_data!N43</f>
        <v>0.26330692315678039</v>
      </c>
    </row>
    <row r="30" spans="1:15" x14ac:dyDescent="0.25">
      <c r="A30" t="str">
        <f>raw_data!A35</f>
        <v>P034</v>
      </c>
      <c r="B30" t="str">
        <f>raw_data!B35</f>
        <v>Kartik Iyer</v>
      </c>
      <c r="C30" t="str">
        <f>raw_data!C35</f>
        <v>All-Rounder</v>
      </c>
      <c r="D30">
        <f>raw_data!D35</f>
        <v>13</v>
      </c>
      <c r="E30">
        <f>raw_data!E35</f>
        <v>340</v>
      </c>
      <c r="F30">
        <f>raw_data!F35</f>
        <v>255</v>
      </c>
      <c r="G30">
        <f>raw_data!I35</f>
        <v>14</v>
      </c>
      <c r="H30">
        <f>raw_data!J35</f>
        <v>36</v>
      </c>
      <c r="I30">
        <f>raw_data!K35</f>
        <v>310</v>
      </c>
      <c r="J30" s="5">
        <f>IF(F30=0,"",(E30/F30)*100)</f>
        <v>133.33333333333331</v>
      </c>
      <c r="K30" s="5">
        <f>IF(D30=0,"",E30/D30)</f>
        <v>26.153846153846153</v>
      </c>
      <c r="L30" s="5">
        <f>IF(H30=0,"",I30/H30)</f>
        <v>8.6111111111111107</v>
      </c>
      <c r="M30" s="5">
        <f>IF(G30=0,"",I30/G30)</f>
        <v>22.142857142857142</v>
      </c>
      <c r="N30" s="5">
        <f>IF(C30="Batsman",
(J30/$J$62*0.6)+(K30/$K$62*0.4),
IF(C30="Wicketkeeper",
(J30/$J$62*0.55)+(K30/$K$62*0.45),
IF(C30="Bowler",
(($L$62/L30)*0.55)+(($M$62/M30)*0.45),
(J30/$J$62*0.35)+(K30/$K$62*0.25)+(($L$62/L30)*0.2)+(($M$62/M30)*0.2)
)))</f>
        <v>3.9689447996282659</v>
      </c>
      <c r="O30" s="5">
        <f>N30/raw_data!N35</f>
        <v>0.261114789449228</v>
      </c>
    </row>
    <row r="31" spans="1:15" x14ac:dyDescent="0.25">
      <c r="A31" t="str">
        <f>raw_data!A54</f>
        <v>P053</v>
      </c>
      <c r="B31" t="str">
        <f>raw_data!B54</f>
        <v>Harsh Daga</v>
      </c>
      <c r="C31" t="str">
        <f>raw_data!C54</f>
        <v>Wicketkeeper</v>
      </c>
      <c r="D31">
        <f>raw_data!D54</f>
        <v>8</v>
      </c>
      <c r="E31">
        <f>raw_data!E54</f>
        <v>190</v>
      </c>
      <c r="F31">
        <f>raw_data!F54</f>
        <v>140</v>
      </c>
      <c r="G31">
        <f>raw_data!I54</f>
        <v>0</v>
      </c>
      <c r="H31">
        <f>raw_data!J54</f>
        <v>0</v>
      </c>
      <c r="I31">
        <f>raw_data!K54</f>
        <v>0</v>
      </c>
      <c r="J31" s="5">
        <f>IF(F31=0,"",(E31/F31)*100)</f>
        <v>135.71428571428572</v>
      </c>
      <c r="K31" s="5">
        <f>IF(D31=0,"",E31/D31)</f>
        <v>23.75</v>
      </c>
      <c r="L31" s="5" t="str">
        <f>IF(H31=0,"",I31/H31)</f>
        <v/>
      </c>
      <c r="M31" s="5" t="str">
        <f>IF(G31=0,"",I31/G31)</f>
        <v/>
      </c>
      <c r="N31" s="5">
        <f>IF(C31="Batsman",
(J31/$J$62*0.6)+(K31/$K$62*0.4),
IF(C31="Wicketkeeper",
(J31/$J$62*0.55)+(K31/$K$62*0.45),
IF(C31="Bowler",
(($L$62/L31)*0.55)+(($M$62/M31)*0.45),
(J31/$J$62*0.35)+(K31/$K$62*0.25)+(($L$62/L31)*0.2)+(($M$62/M31)*0.2)
)))</f>
        <v>1.0232050022251229</v>
      </c>
      <c r="O31" s="5">
        <f>N31/raw_data!N54</f>
        <v>0.23795465168026114</v>
      </c>
    </row>
    <row r="32" spans="1:15" x14ac:dyDescent="0.25">
      <c r="A32" t="str">
        <f>raw_data!A37</f>
        <v>P036</v>
      </c>
      <c r="B32" t="str">
        <f>raw_data!B37</f>
        <v>Jayant Pande</v>
      </c>
      <c r="C32" t="str">
        <f>raw_data!C37</f>
        <v>All-Rounder</v>
      </c>
      <c r="D32">
        <f>raw_data!D37</f>
        <v>14</v>
      </c>
      <c r="E32">
        <f>raw_data!E37</f>
        <v>350</v>
      </c>
      <c r="F32">
        <f>raw_data!F37</f>
        <v>260</v>
      </c>
      <c r="G32">
        <f>raw_data!I37</f>
        <v>15</v>
      </c>
      <c r="H32">
        <f>raw_data!J37</f>
        <v>38</v>
      </c>
      <c r="I32">
        <f>raw_data!K37</f>
        <v>330</v>
      </c>
      <c r="J32" s="5">
        <f>IF(F32=0,"",(E32/F32)*100)</f>
        <v>134.61538461538461</v>
      </c>
      <c r="K32" s="5">
        <f>IF(D32=0,"",E32/D32)</f>
        <v>25</v>
      </c>
      <c r="L32" s="5">
        <f>IF(H32=0,"",I32/H32)</f>
        <v>8.6842105263157894</v>
      </c>
      <c r="M32" s="5">
        <f>IF(G32=0,"",I32/G32)</f>
        <v>22</v>
      </c>
      <c r="N32" s="5">
        <f>IF(C32="Batsman",
(J32/$J$62*0.6)+(K32/$K$62*0.4),
IF(C32="Wicketkeeper",
(J32/$J$62*0.55)+(K32/$K$62*0.45),
IF(C32="Bowler",
(($L$62/L32)*0.55)+(($M$62/M32)*0.45),
(J32/$J$62*0.35)+(K32/$K$62*0.25)+(($L$62/L32)*0.2)+(($M$62/M32)*0.2)
)))</f>
        <v>3.9345435579598846</v>
      </c>
      <c r="O32" s="5">
        <f>N32/raw_data!N37</f>
        <v>0.23419902130713599</v>
      </c>
    </row>
    <row r="33" spans="1:15" x14ac:dyDescent="0.25">
      <c r="A33" t="str">
        <f>raw_data!A12</f>
        <v>P011</v>
      </c>
      <c r="B33" t="str">
        <f>raw_data!B12</f>
        <v>Harshil Mehta</v>
      </c>
      <c r="C33" t="str">
        <f>raw_data!C12</f>
        <v>Batsman</v>
      </c>
      <c r="D33">
        <f>raw_data!D12</f>
        <v>9</v>
      </c>
      <c r="E33">
        <f>raw_data!E12</f>
        <v>250</v>
      </c>
      <c r="F33">
        <f>raw_data!F12</f>
        <v>182</v>
      </c>
      <c r="G33">
        <f>raw_data!I12</f>
        <v>0</v>
      </c>
      <c r="H33">
        <f>raw_data!J12</f>
        <v>0</v>
      </c>
      <c r="I33">
        <f>raw_data!K12</f>
        <v>0</v>
      </c>
      <c r="J33" s="5">
        <f>IF(F33=0,"",(E33/F33)*100)</f>
        <v>137.36263736263737</v>
      </c>
      <c r="K33" s="5">
        <f>IF(D33=0,"",E33/D33)</f>
        <v>27.777777777777779</v>
      </c>
      <c r="L33" s="5" t="str">
        <f>IF(H33=0,"",I33/H33)</f>
        <v/>
      </c>
      <c r="M33" s="5" t="str">
        <f>IF(G33=0,"",I33/G33)</f>
        <v/>
      </c>
      <c r="N33" s="5">
        <f>IF(C33="Batsman",
(J33/$J$62*0.6)+(K33/$K$62*0.4),
IF(C33="Wicketkeeper",
(J33/$J$62*0.55)+(K33/$K$62*0.45),
IF(C33="Bowler",
(($L$62/L33)*0.55)+(($M$62/M33)*0.45),
(J33/$J$62*0.35)+(K33/$K$62*0.25)+(($L$62/L33)*0.2)+(($M$62/M33)*0.2)
)))</f>
        <v>1.0994704724418736</v>
      </c>
      <c r="O33" s="5">
        <f>N33/raw_data!N12</f>
        <v>0.22905634842539033</v>
      </c>
    </row>
    <row r="34" spans="1:15" x14ac:dyDescent="0.25">
      <c r="A34" t="str">
        <f>raw_data!A7</f>
        <v>P006</v>
      </c>
      <c r="B34" t="str">
        <f>raw_data!B7</f>
        <v>Manan Kapoor</v>
      </c>
      <c r="C34" t="str">
        <f>raw_data!C7</f>
        <v>Batsman</v>
      </c>
      <c r="D34">
        <f>raw_data!D7</f>
        <v>8</v>
      </c>
      <c r="E34">
        <f>raw_data!E7</f>
        <v>265</v>
      </c>
      <c r="F34">
        <f>raw_data!F7</f>
        <v>185</v>
      </c>
      <c r="G34">
        <f>raw_data!I7</f>
        <v>0</v>
      </c>
      <c r="H34">
        <f>raw_data!J7</f>
        <v>0</v>
      </c>
      <c r="I34">
        <f>raw_data!K7</f>
        <v>0</v>
      </c>
      <c r="J34" s="5">
        <f>IF(F34=0,"",(E34/F34)*100)</f>
        <v>143.24324324324326</v>
      </c>
      <c r="K34" s="5">
        <f>IF(D34=0,"",E34/D34)</f>
        <v>33.125</v>
      </c>
      <c r="L34" s="5" t="str">
        <f>IF(H34=0,"",I34/H34)</f>
        <v/>
      </c>
      <c r="M34" s="5" t="str">
        <f>IF(G34=0,"",I34/G34)</f>
        <v/>
      </c>
      <c r="N34" s="5">
        <f>IF(C34="Batsman",
(J34/$J$62*0.6)+(K34/$K$62*0.4),
IF(C34="Wicketkeeper",
(J34/$J$62*0.55)+(K34/$K$62*0.45),
IF(C34="Bowler",
(($L$62/L34)*0.55)+(($M$62/M34)*0.45),
(J34/$J$62*0.35)+(K34/$K$62*0.25)+(($L$62/L34)*0.2)+(($M$62/M34)*0.2)
)))</f>
        <v>1.2196454829813344</v>
      </c>
      <c r="O34" s="5">
        <f>N34/raw_data!N7</f>
        <v>0.22175372417842443</v>
      </c>
    </row>
    <row r="35" spans="1:15" x14ac:dyDescent="0.25">
      <c r="A35" t="str">
        <f>raw_data!A16</f>
        <v>P015</v>
      </c>
      <c r="B35" t="str">
        <f>raw_data!B16</f>
        <v>Vedant Kulkarni</v>
      </c>
      <c r="C35" t="str">
        <f>raw_data!C16</f>
        <v>Batsman</v>
      </c>
      <c r="D35">
        <f>raw_data!D16</f>
        <v>11</v>
      </c>
      <c r="E35">
        <f>raw_data!E16</f>
        <v>275</v>
      </c>
      <c r="F35">
        <f>raw_data!F16</f>
        <v>200</v>
      </c>
      <c r="G35">
        <f>raw_data!I16</f>
        <v>0</v>
      </c>
      <c r="H35">
        <f>raw_data!J16</f>
        <v>0</v>
      </c>
      <c r="I35">
        <f>raw_data!K16</f>
        <v>0</v>
      </c>
      <c r="J35" s="5">
        <f>IF(F35=0,"",(E35/F35)*100)</f>
        <v>137.5</v>
      </c>
      <c r="K35" s="5">
        <f>IF(D35=0,"",E35/D35)</f>
        <v>25</v>
      </c>
      <c r="L35" s="5" t="str">
        <f>IF(H35=0,"",I35/H35)</f>
        <v/>
      </c>
      <c r="M35" s="5" t="str">
        <f>IF(G35=0,"",I35/G35)</f>
        <v/>
      </c>
      <c r="N35" s="5">
        <f>IF(C35="Batsman",
(J35/$J$62*0.6)+(K35/$K$62*0.4),
IF(C35="Wicketkeeper",
(J35/$J$62*0.55)+(K35/$K$62*0.45),
IF(C35="Bowler",
(($L$62/L35)*0.55)+(($M$62/M35)*0.45),
(J35/$J$62*0.35)+(K35/$K$62*0.25)+(($L$62/L35)*0.2)+(($M$62/M35)*0.2)
)))</f>
        <v>1.0512431702641707</v>
      </c>
      <c r="O35" s="5">
        <f>N35/raw_data!N16</f>
        <v>0.20216214812772512</v>
      </c>
    </row>
    <row r="36" spans="1:15" x14ac:dyDescent="0.25">
      <c r="A36" t="str">
        <f>raw_data!A5</f>
        <v>P004</v>
      </c>
      <c r="B36" t="str">
        <f>raw_data!B5</f>
        <v>Kunal Purohit</v>
      </c>
      <c r="C36" t="str">
        <f>raw_data!C5</f>
        <v>Batsman</v>
      </c>
      <c r="D36">
        <f>raw_data!D5</f>
        <v>9</v>
      </c>
      <c r="E36">
        <f>raw_data!E5</f>
        <v>298</v>
      </c>
      <c r="F36">
        <f>raw_data!F5</f>
        <v>210</v>
      </c>
      <c r="G36">
        <f>raw_data!I5</f>
        <v>0</v>
      </c>
      <c r="H36">
        <f>raw_data!J5</f>
        <v>0</v>
      </c>
      <c r="I36">
        <f>raw_data!K5</f>
        <v>0</v>
      </c>
      <c r="J36" s="5">
        <f>IF(F36=0,"",(E36/F36)*100)</f>
        <v>141.9047619047619</v>
      </c>
      <c r="K36" s="5">
        <f>IF(D36=0,"",E36/D36)</f>
        <v>33.111111111111114</v>
      </c>
      <c r="L36" s="5" t="str">
        <f>IF(H36=0,"",I36/H36)</f>
        <v/>
      </c>
      <c r="M36" s="5" t="str">
        <f>IF(G36=0,"",I36/G36)</f>
        <v/>
      </c>
      <c r="N36" s="5">
        <f>IF(C36="Batsman",
(J36/$J$62*0.6)+(K36/$K$62*0.4),
IF(C36="Wicketkeeper",
(J36/$J$62*0.55)+(K36/$K$62*0.45),
IF(C36="Bowler",
(($L$62/L36)*0.55)+(($M$62/M36)*0.45),
(J36/$J$62*0.35)+(K36/$K$62*0.25)+(($L$62/L36)*0.2)+(($M$62/M36)*0.2)
)))</f>
        <v>1.2134467752705156</v>
      </c>
      <c r="O36" s="5">
        <f>N36/raw_data!N5</f>
        <v>0.19571722181782508</v>
      </c>
    </row>
    <row r="37" spans="1:15" x14ac:dyDescent="0.25">
      <c r="A37" t="str">
        <f>raw_data!A10</f>
        <v>P009</v>
      </c>
      <c r="B37" t="str">
        <f>raw_data!B10</f>
        <v>Samar Khatri</v>
      </c>
      <c r="C37" t="str">
        <f>raw_data!C10</f>
        <v>Batsman</v>
      </c>
      <c r="D37">
        <f>raw_data!D10</f>
        <v>10</v>
      </c>
      <c r="E37">
        <f>raw_data!E10</f>
        <v>280</v>
      </c>
      <c r="F37">
        <f>raw_data!F10</f>
        <v>195</v>
      </c>
      <c r="G37">
        <f>raw_data!I10</f>
        <v>0</v>
      </c>
      <c r="H37">
        <f>raw_data!J10</f>
        <v>0</v>
      </c>
      <c r="I37">
        <f>raw_data!K10</f>
        <v>0</v>
      </c>
      <c r="J37" s="5">
        <f>IF(F37=0,"",(E37/F37)*100)</f>
        <v>143.58974358974359</v>
      </c>
      <c r="K37" s="5">
        <f>IF(D37=0,"",E37/D37)</f>
        <v>28</v>
      </c>
      <c r="L37" s="5" t="str">
        <f>IF(H37=0,"",I37/H37)</f>
        <v/>
      </c>
      <c r="M37" s="5" t="str">
        <f>IF(G37=0,"",I37/G37)</f>
        <v/>
      </c>
      <c r="N37" s="5">
        <f>IF(C37="Batsman",
(J37/$J$62*0.6)+(K37/$K$62*0.4),
IF(C37="Wicketkeeper",
(J37/$J$62*0.55)+(K37/$K$62*0.45),
IF(C37="Bowler",
(($L$62/L37)*0.55)+(($M$62/M37)*0.45),
(J37/$J$62*0.35)+(K37/$K$62*0.25)+(($L$62/L37)*0.2)+(($M$62/M37)*0.2)
)))</f>
        <v>1.1310801353878976</v>
      </c>
      <c r="O37" s="5">
        <f>N37/raw_data!N10</f>
        <v>0.19501381644618926</v>
      </c>
    </row>
    <row r="38" spans="1:15" x14ac:dyDescent="0.25">
      <c r="A38" t="str">
        <f>raw_data!A51</f>
        <v>P050</v>
      </c>
      <c r="B38" t="str">
        <f>raw_data!B51</f>
        <v>Rohit Tamhane</v>
      </c>
      <c r="C38" t="str">
        <f>raw_data!C51</f>
        <v>Wicketkeeper</v>
      </c>
      <c r="D38">
        <f>raw_data!D51</f>
        <v>9</v>
      </c>
      <c r="E38">
        <f>raw_data!E51</f>
        <v>200</v>
      </c>
      <c r="F38">
        <f>raw_data!F51</f>
        <v>150</v>
      </c>
      <c r="G38">
        <f>raw_data!I51</f>
        <v>0</v>
      </c>
      <c r="H38">
        <f>raw_data!J51</f>
        <v>0</v>
      </c>
      <c r="I38">
        <f>raw_data!K51</f>
        <v>0</v>
      </c>
      <c r="J38" s="5">
        <f>IF(F38=0,"",(E38/F38)*100)</f>
        <v>133.33333333333331</v>
      </c>
      <c r="K38" s="5">
        <f>IF(D38=0,"",E38/D38)</f>
        <v>22.222222222222221</v>
      </c>
      <c r="L38" s="5" t="str">
        <f>IF(H38=0,"",I38/H38)</f>
        <v/>
      </c>
      <c r="M38" s="5" t="str">
        <f>IF(G38=0,"",I38/G38)</f>
        <v/>
      </c>
      <c r="N38" s="5">
        <f>IF(C38="Batsman",
(J38/$J$62*0.6)+(K38/$K$62*0.4),
IF(C38="Wicketkeeper",
(J38/$J$62*0.55)+(K38/$K$62*0.45),
IF(C38="Bowler",
(($L$62/L38)*0.55)+(($M$62/M38)*0.45),
(J38/$J$62*0.35)+(K38/$K$62*0.25)+(($L$62/L38)*0.2)+(($M$62/M38)*0.2)
)))</f>
        <v>0.98327676233067107</v>
      </c>
      <c r="O38" s="5">
        <f>N38/raw_data!N51</f>
        <v>0.19279936516287668</v>
      </c>
    </row>
    <row r="39" spans="1:15" x14ac:dyDescent="0.25">
      <c r="A39" t="str">
        <f>raw_data!A59</f>
        <v>P058</v>
      </c>
      <c r="B39" t="str">
        <f>raw_data!B59</f>
        <v>Keshin Parekh</v>
      </c>
      <c r="C39" t="str">
        <f>raw_data!C59</f>
        <v>Wicketkeeper</v>
      </c>
      <c r="D39">
        <f>raw_data!D59</f>
        <v>9</v>
      </c>
      <c r="E39">
        <f>raw_data!E59</f>
        <v>210</v>
      </c>
      <c r="F39">
        <f>raw_data!F59</f>
        <v>160</v>
      </c>
      <c r="G39">
        <f>raw_data!I59</f>
        <v>0</v>
      </c>
      <c r="H39">
        <f>raw_data!J59</f>
        <v>0</v>
      </c>
      <c r="I39">
        <f>raw_data!K59</f>
        <v>0</v>
      </c>
      <c r="J39" s="5">
        <f>IF(F39=0,"",(E39/F39)*100)</f>
        <v>131.25</v>
      </c>
      <c r="K39" s="5">
        <f>IF(D39=0,"",E39/D39)</f>
        <v>23.333333333333332</v>
      </c>
      <c r="L39" s="5" t="str">
        <f>IF(H39=0,"",I39/H39)</f>
        <v/>
      </c>
      <c r="M39" s="5" t="str">
        <f>IF(G39=0,"",I39/G39)</f>
        <v/>
      </c>
      <c r="N39" s="5">
        <f>IF(C39="Batsman",
(J39/$J$62*0.6)+(K39/$K$62*0.4),
IF(C39="Wicketkeeper",
(J39/$J$62*0.55)+(K39/$K$62*0.45),
IF(C39="Bowler",
(($L$62/L39)*0.55)+(($M$62/M39)*0.45),
(J39/$J$62*0.35)+(K39/$K$62*0.25)+(($L$62/L39)*0.2)+(($M$62/M39)*0.2)
)))</f>
        <v>0.99675823628211746</v>
      </c>
      <c r="O39" s="5">
        <f>N39/raw_data!N59</f>
        <v>0.18458485857076248</v>
      </c>
    </row>
    <row r="40" spans="1:15" x14ac:dyDescent="0.25">
      <c r="A40" t="str">
        <f>raw_data!A15</f>
        <v>P014</v>
      </c>
      <c r="B40" t="str">
        <f>raw_data!B15</f>
        <v>Tanish Roy</v>
      </c>
      <c r="C40" t="str">
        <f>raw_data!C15</f>
        <v>Batsman</v>
      </c>
      <c r="D40">
        <f>raw_data!D15</f>
        <v>10</v>
      </c>
      <c r="E40">
        <f>raw_data!E15</f>
        <v>310</v>
      </c>
      <c r="F40">
        <f>raw_data!F15</f>
        <v>225</v>
      </c>
      <c r="G40">
        <f>raw_data!I15</f>
        <v>0</v>
      </c>
      <c r="H40">
        <f>raw_data!J15</f>
        <v>0</v>
      </c>
      <c r="I40">
        <f>raw_data!K15</f>
        <v>0</v>
      </c>
      <c r="J40" s="5">
        <f>IF(F40=0,"",(E40/F40)*100)</f>
        <v>137.77777777777777</v>
      </c>
      <c r="K40" s="5">
        <f>IF(D40=0,"",E40/D40)</f>
        <v>31</v>
      </c>
      <c r="L40" s="5" t="str">
        <f>IF(H40=0,"",I40/H40)</f>
        <v/>
      </c>
      <c r="M40" s="5" t="str">
        <f>IF(G40=0,"",I40/G40)</f>
        <v/>
      </c>
      <c r="N40" s="5">
        <f>IF(C40="Batsman",
(J40/$J$62*0.6)+(K40/$K$62*0.4),
IF(C40="Wicketkeeper",
(J40/$J$62*0.55)+(K40/$K$62*0.45),
IF(C40="Bowler",
(($L$62/L40)*0.55)+(($M$62/M40)*0.45),
(J40/$J$62*0.35)+(K40/$K$62*0.25)+(($L$62/L40)*0.2)+(($M$62/M40)*0.2)
)))</f>
        <v>1.1579698428627307</v>
      </c>
      <c r="O40" s="5">
        <f>N40/raw_data!N15</f>
        <v>0.17814920659426628</v>
      </c>
    </row>
    <row r="41" spans="1:15" x14ac:dyDescent="0.25">
      <c r="A41" t="str">
        <f>raw_data!A56</f>
        <v>P055</v>
      </c>
      <c r="B41" t="str">
        <f>raw_data!B56</f>
        <v>Uday Patwardhan</v>
      </c>
      <c r="C41" t="str">
        <f>raw_data!C56</f>
        <v>Wicketkeeper</v>
      </c>
      <c r="D41">
        <f>raw_data!D56</f>
        <v>10</v>
      </c>
      <c r="E41">
        <f>raw_data!E56</f>
        <v>240</v>
      </c>
      <c r="F41">
        <f>raw_data!F56</f>
        <v>180</v>
      </c>
      <c r="G41">
        <f>raw_data!I56</f>
        <v>0</v>
      </c>
      <c r="H41">
        <f>raw_data!J56</f>
        <v>0</v>
      </c>
      <c r="I41">
        <f>raw_data!K56</f>
        <v>0</v>
      </c>
      <c r="J41" s="5">
        <f>IF(F41=0,"",(E41/F41)*100)</f>
        <v>133.33333333333331</v>
      </c>
      <c r="K41" s="5">
        <f>IF(D41=0,"",E41/D41)</f>
        <v>24</v>
      </c>
      <c r="L41" s="5" t="str">
        <f>IF(H41=0,"",I41/H41)</f>
        <v/>
      </c>
      <c r="M41" s="5" t="str">
        <f>IF(G41=0,"",I41/G41)</f>
        <v/>
      </c>
      <c r="N41" s="5">
        <f>IF(C41="Batsman",
(J41/$J$62*0.6)+(K41/$K$62*0.4),
IF(C41="Wicketkeeper",
(J41/$J$62*0.55)+(K41/$K$62*0.45),
IF(C41="Bowler",
(($L$62/L41)*0.55)+(($M$62/M41)*0.45),
(J41/$J$62*0.35)+(K41/$K$62*0.25)+(($L$62/L41)*0.2)+(($M$62/M41)*0.2)
)))</f>
        <v>1.0184404022396851</v>
      </c>
      <c r="O41" s="5">
        <f>N41/raw_data!N56</f>
        <v>0.16426458100640082</v>
      </c>
    </row>
    <row r="42" spans="1:15" x14ac:dyDescent="0.25">
      <c r="A42" t="str">
        <f>raw_data!A61</f>
        <v>P060</v>
      </c>
      <c r="B42" t="str">
        <f>raw_data!B61</f>
        <v>Pratham Goyal</v>
      </c>
      <c r="C42" t="str">
        <f>raw_data!C61</f>
        <v>Wicketkeeper</v>
      </c>
      <c r="D42">
        <f>raw_data!D61</f>
        <v>10</v>
      </c>
      <c r="E42">
        <f>raw_data!E61</f>
        <v>225</v>
      </c>
      <c r="F42">
        <f>raw_data!F61</f>
        <v>170</v>
      </c>
      <c r="G42">
        <f>raw_data!I61</f>
        <v>0</v>
      </c>
      <c r="H42">
        <f>raw_data!J61</f>
        <v>0</v>
      </c>
      <c r="I42">
        <f>raw_data!K61</f>
        <v>0</v>
      </c>
      <c r="J42" s="5">
        <f>IF(F42=0,"",(E42/F42)*100)</f>
        <v>132.35294117647058</v>
      </c>
      <c r="K42" s="5">
        <f>IF(D42=0,"",E42/D42)</f>
        <v>22.5</v>
      </c>
      <c r="L42" s="5" t="str">
        <f>IF(H42=0,"",I42/H42)</f>
        <v/>
      </c>
      <c r="M42" s="5" t="str">
        <f>IF(G42=0,"",I42/G42)</f>
        <v/>
      </c>
      <c r="N42" s="5">
        <f>IF(C42="Batsman",
(J42/$J$62*0.6)+(K42/$K$62*0.4),
IF(C42="Wicketkeeper",
(J42/$J$62*0.55)+(K42/$K$62*0.45),
IF(C42="Bowler",
(($L$62/L42)*0.55)+(($M$62/M42)*0.45),
(J42/$J$62*0.35)+(K42/$K$62*0.25)+(($L$62/L42)*0.2)+(($M$62/M42)*0.2)
)))</f>
        <v>0.98477305707036644</v>
      </c>
      <c r="O42" s="5">
        <f>N42/raw_data!N61</f>
        <v>0.15150354724159484</v>
      </c>
    </row>
    <row r="43" spans="1:15" x14ac:dyDescent="0.25">
      <c r="A43" t="str">
        <f>raw_data!A4</f>
        <v>P003</v>
      </c>
      <c r="B43" t="str">
        <f>raw_data!B4</f>
        <v>Rishan Bedi</v>
      </c>
      <c r="C43" t="str">
        <f>raw_data!C4</f>
        <v>Batsman</v>
      </c>
      <c r="D43">
        <f>raw_data!D4</f>
        <v>10</v>
      </c>
      <c r="E43">
        <f>raw_data!E4</f>
        <v>355</v>
      </c>
      <c r="F43">
        <f>raw_data!F4</f>
        <v>250</v>
      </c>
      <c r="G43">
        <f>raw_data!I4</f>
        <v>0</v>
      </c>
      <c r="H43">
        <f>raw_data!J4</f>
        <v>0</v>
      </c>
      <c r="I43">
        <f>raw_data!K4</f>
        <v>0</v>
      </c>
      <c r="J43" s="5">
        <f>IF(F43=0,"",(E43/F43)*100)</f>
        <v>142</v>
      </c>
      <c r="K43" s="5">
        <f>IF(D43=0,"",E43/D43)</f>
        <v>35.5</v>
      </c>
      <c r="L43" s="5" t="str">
        <f>IF(H43=0,"",I43/H43)</f>
        <v/>
      </c>
      <c r="M43" s="5" t="str">
        <f>IF(G43=0,"",I43/G43)</f>
        <v/>
      </c>
      <c r="N43" s="5">
        <f>IF(C43="Batsman",
(J43/$J$62*0.6)+(K43/$K$62*0.4),
IF(C43="Wicketkeeper",
(J43/$J$62*0.55)+(K43/$K$62*0.45),
IF(C43="Bowler",
(($L$62/L43)*0.55)+(($M$62/M43)*0.45),
(J43/$J$62*0.35)+(K43/$K$62*0.25)+(($L$62/L43)*0.2)+(($M$62/M43)*0.2)
)))</f>
        <v>1.2558714763050882</v>
      </c>
      <c r="O43" s="5">
        <f>N43/raw_data!N4</f>
        <v>0.14774958544765743</v>
      </c>
    </row>
    <row r="44" spans="1:15" x14ac:dyDescent="0.25">
      <c r="A44" t="str">
        <f>raw_data!A11</f>
        <v>P010</v>
      </c>
      <c r="B44" t="str">
        <f>raw_data!B11</f>
        <v>Aditya Solanki</v>
      </c>
      <c r="C44" t="str">
        <f>raw_data!C11</f>
        <v>Batsman</v>
      </c>
      <c r="D44">
        <f>raw_data!D11</f>
        <v>11</v>
      </c>
      <c r="E44">
        <f>raw_data!E11</f>
        <v>360</v>
      </c>
      <c r="F44">
        <f>raw_data!F11</f>
        <v>270</v>
      </c>
      <c r="G44">
        <f>raw_data!I11</f>
        <v>1</v>
      </c>
      <c r="H44">
        <f>raw_data!J11</f>
        <v>1</v>
      </c>
      <c r="I44">
        <f>raw_data!K11</f>
        <v>15</v>
      </c>
      <c r="J44" s="5">
        <f>IF(F44=0,"",(E44/F44)*100)</f>
        <v>133.33333333333331</v>
      </c>
      <c r="K44" s="5">
        <f>IF(D44=0,"",E44/D44)</f>
        <v>32.727272727272727</v>
      </c>
      <c r="L44" s="5">
        <f>IF(H44=0,"",I44/H44)</f>
        <v>15</v>
      </c>
      <c r="M44" s="5">
        <f>IF(G44=0,"",I44/G44)</f>
        <v>15</v>
      </c>
      <c r="N44" s="5">
        <f>IF(C44="Batsman",
(J44/$J$62*0.6)+(K44/$K$62*0.4),
IF(C44="Wicketkeeper",
(J44/$J$62*0.55)+(K44/$K$62*0.45),
IF(C44="Bowler",
(($L$62/L44)*0.55)+(($M$62/M44)*0.45),
(J44/$J$62*0.35)+(K44/$K$62*0.25)+(($L$62/L44)*0.2)+(($M$62/M44)*0.2)
)))</f>
        <v>1.1685663950216791</v>
      </c>
      <c r="O44" s="5">
        <f>N44/raw_data!N11</f>
        <v>0.13431797643927348</v>
      </c>
    </row>
    <row r="45" spans="1:15" x14ac:dyDescent="0.25">
      <c r="A45" t="str">
        <f>raw_data!A55</f>
        <v>P054</v>
      </c>
      <c r="B45" t="str">
        <f>raw_data!B55</f>
        <v>Karan Bhise</v>
      </c>
      <c r="C45" t="str">
        <f>raw_data!C55</f>
        <v>Wicketkeeper</v>
      </c>
      <c r="D45">
        <f>raw_data!D55</f>
        <v>11</v>
      </c>
      <c r="E45">
        <f>raw_data!E55</f>
        <v>260</v>
      </c>
      <c r="F45">
        <f>raw_data!F55</f>
        <v>195</v>
      </c>
      <c r="G45">
        <f>raw_data!I55</f>
        <v>0</v>
      </c>
      <c r="H45">
        <f>raw_data!J55</f>
        <v>0</v>
      </c>
      <c r="I45">
        <f>raw_data!K55</f>
        <v>0</v>
      </c>
      <c r="J45" s="5">
        <f>IF(F45=0,"",(E45/F45)*100)</f>
        <v>133.33333333333331</v>
      </c>
      <c r="K45" s="5">
        <f>IF(D45=0,"",E45/D45)</f>
        <v>23.636363636363637</v>
      </c>
      <c r="L45" s="5" t="str">
        <f>IF(H45=0,"",I45/H45)</f>
        <v/>
      </c>
      <c r="M45" s="5" t="str">
        <f>IF(G45=0,"",I45/G45)</f>
        <v/>
      </c>
      <c r="N45" s="5">
        <f>IF(C45="Batsman",
(J45/$J$62*0.6)+(K45/$K$62*0.4),
IF(C45="Wicketkeeper",
(J45/$J$62*0.55)+(K45/$K$62*0.45),
IF(C45="Bowler",
(($L$62/L45)*0.55)+(($M$62/M45)*0.45),
(J45/$J$62*0.35)+(K45/$K$62*0.25)+(($L$62/L45)*0.2)+(($M$62/M45)*0.2)
)))</f>
        <v>1.0112478395310232</v>
      </c>
      <c r="O45" s="5">
        <f>N45/raw_data!N55</f>
        <v>0.133058926254082</v>
      </c>
    </row>
    <row r="46" spans="1:15" x14ac:dyDescent="0.25">
      <c r="A46" t="str">
        <f>raw_data!A49</f>
        <v>P048</v>
      </c>
      <c r="B46" t="str">
        <f>raw_data!B49</f>
        <v>Piyush Kakkar</v>
      </c>
      <c r="C46" t="str">
        <f>raw_data!C49</f>
        <v>Wicketkeeper</v>
      </c>
      <c r="D46">
        <f>raw_data!D49</f>
        <v>10</v>
      </c>
      <c r="E46">
        <f>raw_data!E49</f>
        <v>280</v>
      </c>
      <c r="F46">
        <f>raw_data!F49</f>
        <v>210</v>
      </c>
      <c r="G46">
        <f>raw_data!I49</f>
        <v>0</v>
      </c>
      <c r="H46">
        <f>raw_data!J49</f>
        <v>0</v>
      </c>
      <c r="I46">
        <f>raw_data!K49</f>
        <v>0</v>
      </c>
      <c r="J46" s="5">
        <f>IF(F46=0,"",(E46/F46)*100)</f>
        <v>133.33333333333331</v>
      </c>
      <c r="K46" s="5">
        <f>IF(D46=0,"",E46/D46)</f>
        <v>28</v>
      </c>
      <c r="L46" s="5" t="str">
        <f>IF(H46=0,"",I46/H46)</f>
        <v/>
      </c>
      <c r="M46" s="5" t="str">
        <f>IF(G46=0,"",I46/G46)</f>
        <v/>
      </c>
      <c r="N46" s="5">
        <f>IF(C46="Batsman",
(J46/$J$62*0.6)+(K46/$K$62*0.4),
IF(C46="Wicketkeeper",
(J46/$J$62*0.55)+(K46/$K$62*0.45),
IF(C46="Bowler",
(($L$62/L46)*0.55)+(($M$62/M46)*0.45),
(J46/$J$62*0.35)+(K46/$K$62*0.25)+(($L$62/L46)*0.2)+(($M$62/M46)*0.2)
)))</f>
        <v>1.0975585920349662</v>
      </c>
      <c r="O46" s="5">
        <f>N46/raw_data!N49</f>
        <v>0.13223597494397182</v>
      </c>
    </row>
    <row r="47" spans="1:15" x14ac:dyDescent="0.25">
      <c r="A47" t="str">
        <f>raw_data!A9</f>
        <v>P008</v>
      </c>
      <c r="B47" t="str">
        <f>raw_data!B9</f>
        <v>Nikhil Arora</v>
      </c>
      <c r="C47" t="str">
        <f>raw_data!C9</f>
        <v>Batsman</v>
      </c>
      <c r="D47">
        <f>raw_data!D9</f>
        <v>12</v>
      </c>
      <c r="E47">
        <f>raw_data!E9</f>
        <v>410</v>
      </c>
      <c r="F47">
        <f>raw_data!F9</f>
        <v>305</v>
      </c>
      <c r="G47">
        <f>raw_data!I9</f>
        <v>0</v>
      </c>
      <c r="H47">
        <f>raw_data!J9</f>
        <v>0</v>
      </c>
      <c r="I47">
        <f>raw_data!K9</f>
        <v>0</v>
      </c>
      <c r="J47" s="5">
        <f>IF(F47=0,"",(E47/F47)*100)</f>
        <v>134.42622950819671</v>
      </c>
      <c r="K47" s="5">
        <f>IF(D47=0,"",E47/D47)</f>
        <v>34.166666666666664</v>
      </c>
      <c r="L47" s="5" t="str">
        <f>IF(H47=0,"",I47/H47)</f>
        <v/>
      </c>
      <c r="M47" s="5" t="str">
        <f>IF(G47=0,"",I47/G47)</f>
        <v/>
      </c>
      <c r="N47" s="5">
        <f>IF(C47="Batsman",
(J47/$J$62*0.6)+(K47/$K$62*0.4),
IF(C47="Wicketkeeper",
(J47/$J$62*0.55)+(K47/$K$62*0.45),
IF(C47="Bowler",
(($L$62/L47)*0.55)+(($M$62/M47)*0.45),
(J47/$J$62*0.35)+(K47/$K$62*0.25)+(($L$62/L47)*0.2)+(($M$62/M47)*0.2)
)))</f>
        <v>1.1987355386186029</v>
      </c>
      <c r="O47" s="5">
        <f>N47/raw_data!N9</f>
        <v>0.13029734115419597</v>
      </c>
    </row>
    <row r="48" spans="1:15" x14ac:dyDescent="0.25">
      <c r="A48" t="str">
        <f>raw_data!A60</f>
        <v>P059</v>
      </c>
      <c r="B48" t="str">
        <f>raw_data!B60</f>
        <v>Lakshay Oberoi</v>
      </c>
      <c r="C48" t="str">
        <f>raw_data!C60</f>
        <v>Wicketkeeper</v>
      </c>
      <c r="D48">
        <f>raw_data!D60</f>
        <v>11</v>
      </c>
      <c r="E48">
        <f>raw_data!E60</f>
        <v>295</v>
      </c>
      <c r="F48">
        <f>raw_data!F60</f>
        <v>220</v>
      </c>
      <c r="G48">
        <f>raw_data!I60</f>
        <v>0</v>
      </c>
      <c r="H48">
        <f>raw_data!J60</f>
        <v>0</v>
      </c>
      <c r="I48">
        <f>raw_data!K60</f>
        <v>0</v>
      </c>
      <c r="J48" s="5">
        <f>IF(F48=0,"",(E48/F48)*100)</f>
        <v>134.09090909090909</v>
      </c>
      <c r="K48" s="5">
        <f>IF(D48=0,"",E48/D48)</f>
        <v>26.818181818181817</v>
      </c>
      <c r="L48" s="5" t="str">
        <f>IF(H48=0,"",I48/H48)</f>
        <v/>
      </c>
      <c r="M48" s="5" t="str">
        <f>IF(G48=0,"",I48/G48)</f>
        <v/>
      </c>
      <c r="N48" s="5">
        <f>IF(C48="Batsman",
(J48/$J$62*0.6)+(K48/$K$62*0.4),
IF(C48="Wicketkeeper",
(J48/$J$62*0.55)+(K48/$K$62*0.45),
IF(C48="Bowler",
(($L$62/L48)*0.55)+(($M$62/M48)*0.45),
(J48/$J$62*0.35)+(K48/$K$62*0.25)+(($L$62/L48)*0.2)+(($M$62/M48)*0.2)
)))</f>
        <v>1.0772721454106104</v>
      </c>
      <c r="O48" s="5">
        <f>N48/raw_data!N60</f>
        <v>0.12104181409107982</v>
      </c>
    </row>
    <row r="49" spans="1:15" x14ac:dyDescent="0.25">
      <c r="A49" t="str">
        <f>raw_data!A14</f>
        <v>P013</v>
      </c>
      <c r="B49" t="str">
        <f>raw_data!B14</f>
        <v>Ishaan Dhamija</v>
      </c>
      <c r="C49" t="str">
        <f>raw_data!C14</f>
        <v>Batsman</v>
      </c>
      <c r="D49">
        <f>raw_data!D14</f>
        <v>12</v>
      </c>
      <c r="E49">
        <f>raw_data!E14</f>
        <v>445</v>
      </c>
      <c r="F49">
        <f>raw_data!F14</f>
        <v>330</v>
      </c>
      <c r="G49">
        <f>raw_data!I14</f>
        <v>0</v>
      </c>
      <c r="H49">
        <f>raw_data!J14</f>
        <v>0</v>
      </c>
      <c r="I49">
        <f>raw_data!K14</f>
        <v>0</v>
      </c>
      <c r="J49" s="5">
        <f>IF(F49=0,"",(E49/F49)*100)</f>
        <v>134.84848484848484</v>
      </c>
      <c r="K49" s="5">
        <f>IF(D49=0,"",E49/D49)</f>
        <v>37.083333333333336</v>
      </c>
      <c r="L49" s="5" t="str">
        <f>IF(H49=0,"",I49/H49)</f>
        <v/>
      </c>
      <c r="M49" s="5" t="str">
        <f>IF(G49=0,"",I49/G49)</f>
        <v/>
      </c>
      <c r="N49" s="5">
        <f>IF(C49="Batsman",
(J49/$J$62*0.6)+(K49/$K$62*0.4),
IF(C49="Wicketkeeper",
(J49/$J$62*0.55)+(K49/$K$62*0.45),
IF(C49="Bowler",
(($L$62/L49)*0.55)+(($M$62/M49)*0.45),
(J49/$J$62*0.35)+(K49/$K$62*0.25)+(($L$62/L49)*0.2)+(($M$62/M49)*0.2)
)))</f>
        <v>1.2518943385166383</v>
      </c>
      <c r="O49" s="5">
        <f>N49/raw_data!N14</f>
        <v>0.11922803223967984</v>
      </c>
    </row>
    <row r="50" spans="1:15" x14ac:dyDescent="0.25">
      <c r="A50" t="str">
        <f>raw_data!A53</f>
        <v>P052</v>
      </c>
      <c r="B50" t="str">
        <f>raw_data!B53</f>
        <v>Tejas Panchal</v>
      </c>
      <c r="C50" t="str">
        <f>raw_data!C53</f>
        <v>Wicketkeeper</v>
      </c>
      <c r="D50">
        <f>raw_data!D53</f>
        <v>12</v>
      </c>
      <c r="E50">
        <f>raw_data!E53</f>
        <v>305</v>
      </c>
      <c r="F50">
        <f>raw_data!F53</f>
        <v>230</v>
      </c>
      <c r="G50">
        <f>raw_data!I53</f>
        <v>0</v>
      </c>
      <c r="H50">
        <f>raw_data!J53</f>
        <v>0</v>
      </c>
      <c r="I50">
        <f>raw_data!K53</f>
        <v>0</v>
      </c>
      <c r="J50" s="5">
        <f>IF(F50=0,"",(E50/F50)*100)</f>
        <v>132.60869565217391</v>
      </c>
      <c r="K50" s="5">
        <f>IF(D50=0,"",E50/D50)</f>
        <v>25.416666666666668</v>
      </c>
      <c r="L50" s="5" t="str">
        <f>IF(H50=0,"",I50/H50)</f>
        <v/>
      </c>
      <c r="M50" s="5" t="str">
        <f>IF(G50=0,"",I50/G50)</f>
        <v/>
      </c>
      <c r="N50" s="5">
        <f>IF(C50="Batsman",
(J50/$J$62*0.6)+(K50/$K$62*0.4),
IF(C50="Wicketkeeper",
(J50/$J$62*0.55)+(K50/$K$62*0.45),
IF(C50="Bowler",
(($L$62/L50)*0.55)+(($M$62/M50)*0.45),
(J50/$J$62*0.35)+(K50/$K$62*0.25)+(($L$62/L50)*0.2)+(($M$62/M50)*0.2)
)))</f>
        <v>1.0435063665776805</v>
      </c>
      <c r="O50" s="5">
        <f>N50/raw_data!N53</f>
        <v>0.11342460506279137</v>
      </c>
    </row>
    <row r="51" spans="1:15" x14ac:dyDescent="0.25">
      <c r="A51" t="str">
        <f>raw_data!A3</f>
        <v>P002</v>
      </c>
      <c r="B51" t="str">
        <f>raw_data!B3</f>
        <v>Dev Malhotra</v>
      </c>
      <c r="C51" t="str">
        <f>raw_data!C3</f>
        <v>Batsman</v>
      </c>
      <c r="D51">
        <f>raw_data!D3</f>
        <v>11</v>
      </c>
      <c r="E51">
        <f>raw_data!E3</f>
        <v>468</v>
      </c>
      <c r="F51">
        <f>raw_data!F3</f>
        <v>340</v>
      </c>
      <c r="G51">
        <f>raw_data!I3</f>
        <v>0</v>
      </c>
      <c r="H51">
        <f>raw_data!J3</f>
        <v>1</v>
      </c>
      <c r="I51">
        <f>raw_data!K3</f>
        <v>12</v>
      </c>
      <c r="J51" s="5">
        <f>IF(F51=0,"",(E51/F51)*100)</f>
        <v>137.64705882352942</v>
      </c>
      <c r="K51" s="5">
        <f>IF(D51=0,"",E51/D51)</f>
        <v>42.545454545454547</v>
      </c>
      <c r="L51" s="5">
        <f>IF(H51=0,"",I51/H51)</f>
        <v>12</v>
      </c>
      <c r="M51" s="5" t="str">
        <f>IF(G51=0,"",I51/G51)</f>
        <v/>
      </c>
      <c r="N51" s="5">
        <f>IF(C51="Batsman",
(J51/$J$62*0.6)+(K51/$K$62*0.4),
IF(C51="Wicketkeeper",
(J51/$J$62*0.55)+(K51/$K$62*0.45),
IF(C51="Bowler",
(($L$62/L51)*0.55)+(($M$62/M51)*0.45),
(J51/$J$62*0.35)+(K51/$K$62*0.25)+(($L$62/L51)*0.2)+(($M$62/M51)*0.2)
)))</f>
        <v>1.3603784152107892</v>
      </c>
      <c r="O51" s="5">
        <f>N51/raw_data!N3</f>
        <v>0.1115064274762942</v>
      </c>
    </row>
    <row r="52" spans="1:15" x14ac:dyDescent="0.25">
      <c r="A52" t="str">
        <f>raw_data!A48</f>
        <v>P047</v>
      </c>
      <c r="B52" t="str">
        <f>raw_data!B48</f>
        <v>Anuj Dhingra</v>
      </c>
      <c r="C52" t="str">
        <f>raw_data!C48</f>
        <v>Wicketkeeper</v>
      </c>
      <c r="D52">
        <f>raw_data!D48</f>
        <v>11</v>
      </c>
      <c r="E52">
        <f>raw_data!E48</f>
        <v>350</v>
      </c>
      <c r="F52">
        <f>raw_data!F48</f>
        <v>265</v>
      </c>
      <c r="G52">
        <f>raw_data!I48</f>
        <v>0</v>
      </c>
      <c r="H52">
        <f>raw_data!J48</f>
        <v>0</v>
      </c>
      <c r="I52">
        <f>raw_data!K48</f>
        <v>0</v>
      </c>
      <c r="J52" s="5">
        <f>IF(F52=0,"",(E52/F52)*100)</f>
        <v>132.0754716981132</v>
      </c>
      <c r="K52" s="5">
        <f>IF(D52=0,"",E52/D52)</f>
        <v>31.818181818181817</v>
      </c>
      <c r="L52" s="5" t="str">
        <f>IF(H52=0,"",I52/H52)</f>
        <v/>
      </c>
      <c r="M52" s="5" t="str">
        <f>IF(G52=0,"",I52/G52)</f>
        <v/>
      </c>
      <c r="N52" s="5">
        <f>IF(C52="Batsman",
(J52/$J$62*0.6)+(K52/$K$62*0.4),
IF(C52="Wicketkeeper",
(J52/$J$62*0.55)+(K52/$K$62*0.45),
IF(C52="Bowler",
(($L$62/L52)*0.55)+(($M$62/M52)*0.45),
(J52/$J$62*0.35)+(K52/$K$62*0.25)+(($L$62/L52)*0.2)+(($M$62/M52)*0.2)
)))</f>
        <v>1.1679509602545206</v>
      </c>
      <c r="O52" s="5">
        <f>N52/raw_data!N48</f>
        <v>0.11018405285420006</v>
      </c>
    </row>
    <row r="53" spans="1:15" x14ac:dyDescent="0.25">
      <c r="A53" t="str">
        <f>raw_data!A2</f>
        <v>P001</v>
      </c>
      <c r="B53" t="str">
        <f>raw_data!B2</f>
        <v>Aarav Shekhawat</v>
      </c>
      <c r="C53" t="str">
        <f>raw_data!C2</f>
        <v>Batsman</v>
      </c>
      <c r="D53">
        <f>raw_data!D2</f>
        <v>12</v>
      </c>
      <c r="E53">
        <f>raw_data!E2</f>
        <v>512</v>
      </c>
      <c r="F53">
        <f>raw_data!F2</f>
        <v>378</v>
      </c>
      <c r="G53">
        <f>raw_data!I2</f>
        <v>1</v>
      </c>
      <c r="H53">
        <f>raw_data!J2</f>
        <v>2</v>
      </c>
      <c r="I53">
        <f>raw_data!K2</f>
        <v>18</v>
      </c>
      <c r="J53" s="5">
        <f>IF(F53=0,"",(E53/F53)*100)</f>
        <v>135.44973544973544</v>
      </c>
      <c r="K53" s="5">
        <f>IF(D53=0,"",E53/D53)</f>
        <v>42.666666666666664</v>
      </c>
      <c r="L53" s="5">
        <f>IF(H53=0,"",I53/H53)</f>
        <v>9</v>
      </c>
      <c r="M53" s="5">
        <f>IF(G53=0,"",I53/G53)</f>
        <v>18</v>
      </c>
      <c r="N53" s="5">
        <f>IF(C53="Batsman",
(J53/$J$62*0.6)+(K53/$K$62*0.4),
IF(C53="Wicketkeeper",
(J53/$J$62*0.55)+(K53/$K$62*0.45),
IF(C53="Bowler",
(($L$62/L53)*0.55)+(($M$62/M53)*0.45),
(J53/$J$62*0.35)+(K53/$K$62*0.25)+(($L$62/L53)*0.2)+(($M$62/M53)*0.2)
)))</f>
        <v>1.3527342896944927</v>
      </c>
      <c r="O53" s="5">
        <f>N53/raw_data!N2</f>
        <v>9.3292019978930538E-2</v>
      </c>
    </row>
    <row r="54" spans="1:15" x14ac:dyDescent="0.25">
      <c r="A54" t="str">
        <f>raw_data!A57</f>
        <v>P056</v>
      </c>
      <c r="B54" t="str">
        <f>raw_data!B57</f>
        <v>Vivek Shetty</v>
      </c>
      <c r="C54" t="str">
        <f>raw_data!C57</f>
        <v>Wicketkeeper</v>
      </c>
      <c r="D54">
        <f>raw_data!D57</f>
        <v>12</v>
      </c>
      <c r="E54">
        <f>raw_data!E57</f>
        <v>330</v>
      </c>
      <c r="F54">
        <f>raw_data!F57</f>
        <v>250</v>
      </c>
      <c r="G54">
        <f>raw_data!I57</f>
        <v>0</v>
      </c>
      <c r="H54">
        <f>raw_data!J57</f>
        <v>0</v>
      </c>
      <c r="I54">
        <f>raw_data!K57</f>
        <v>0</v>
      </c>
      <c r="J54" s="5">
        <f>IF(F54=0,"",(E54/F54)*100)</f>
        <v>132</v>
      </c>
      <c r="K54" s="5">
        <f>IF(D54=0,"",E54/D54)</f>
        <v>27.5</v>
      </c>
      <c r="L54" s="5" t="str">
        <f>IF(H54=0,"",I54/H54)</f>
        <v/>
      </c>
      <c r="M54" s="5" t="str">
        <f>IF(G54=0,"",I54/G54)</f>
        <v/>
      </c>
      <c r="N54" s="5">
        <f>IF(C54="Batsman",
(J54/$J$62*0.6)+(K54/$K$62*0.4),
IF(C54="Wicketkeeper",
(J54/$J$62*0.55)+(K54/$K$62*0.45),
IF(C54="Bowler",
(($L$62/L54)*0.55)+(($M$62/M54)*0.45),
(J54/$J$62*0.35)+(K54/$K$62*0.25)+(($L$62/L54)*0.2)+(($M$62/M54)*0.2)
)))</f>
        <v>1.0822315056758762</v>
      </c>
      <c r="O54" s="5">
        <f>N54/raw_data!N57</f>
        <v>9.1714534379311541E-2</v>
      </c>
    </row>
    <row r="55" spans="1:15" x14ac:dyDescent="0.25">
      <c r="A55" t="str">
        <f>raw_data!A13</f>
        <v>P012</v>
      </c>
      <c r="B55" t="str">
        <f>raw_data!B13</f>
        <v>Pranav Wagh</v>
      </c>
      <c r="C55" t="str">
        <f>raw_data!C13</f>
        <v>Batsman</v>
      </c>
      <c r="D55">
        <f>raw_data!D13</f>
        <v>13</v>
      </c>
      <c r="E55">
        <f>raw_data!E13</f>
        <v>495</v>
      </c>
      <c r="F55">
        <f>raw_data!F13</f>
        <v>368</v>
      </c>
      <c r="G55">
        <f>raw_data!I13</f>
        <v>2</v>
      </c>
      <c r="H55">
        <f>raw_data!J13</f>
        <v>3</v>
      </c>
      <c r="I55">
        <f>raw_data!K13</f>
        <v>28</v>
      </c>
      <c r="J55" s="5">
        <f>IF(F55=0,"",(E55/F55)*100)</f>
        <v>134.51086956521738</v>
      </c>
      <c r="K55" s="5">
        <f>IF(D55=0,"",E55/D55)</f>
        <v>38.07692307692308</v>
      </c>
      <c r="L55" s="5">
        <f>IF(H55=0,"",I55/H55)</f>
        <v>9.3333333333333339</v>
      </c>
      <c r="M55" s="5">
        <f>IF(G55=0,"",I55/G55)</f>
        <v>14</v>
      </c>
      <c r="N55" s="5">
        <f>IF(C55="Batsman",
(J55/$J$62*0.6)+(K55/$K$62*0.4),
IF(C55="Wicketkeeper",
(J55/$J$62*0.55)+(K55/$K$62*0.45),
IF(C55="Bowler",
(($L$62/L55)*0.55)+(($M$62/M55)*0.45),
(J55/$J$62*0.35)+(K55/$K$62*0.25)+(($L$62/L55)*0.2)+(($M$62/M55)*0.2)
)))</f>
        <v>1.2678615018963195</v>
      </c>
      <c r="O55" s="5">
        <f>N55/raw_data!N13</f>
        <v>9.1213057690382696E-2</v>
      </c>
    </row>
    <row r="56" spans="1:15" x14ac:dyDescent="0.25">
      <c r="A56" t="str">
        <f>raw_data!A47</f>
        <v>P046</v>
      </c>
      <c r="B56" t="str">
        <f>raw_data!B47</f>
        <v>Ritesh Walia</v>
      </c>
      <c r="C56" t="str">
        <f>raw_data!C47</f>
        <v>Wicketkeeper</v>
      </c>
      <c r="D56">
        <f>raw_data!D47</f>
        <v>12</v>
      </c>
      <c r="E56">
        <f>raw_data!E47</f>
        <v>390</v>
      </c>
      <c r="F56">
        <f>raw_data!F47</f>
        <v>300</v>
      </c>
      <c r="G56">
        <f>raw_data!I47</f>
        <v>0</v>
      </c>
      <c r="H56">
        <f>raw_data!J47</f>
        <v>0</v>
      </c>
      <c r="I56">
        <f>raw_data!K47</f>
        <v>0</v>
      </c>
      <c r="J56" s="5">
        <f>IF(F56=0,"",(E56/F56)*100)</f>
        <v>130</v>
      </c>
      <c r="K56" s="5">
        <f>IF(D56=0,"",E56/D56)</f>
        <v>32.5</v>
      </c>
      <c r="L56" s="5" t="str">
        <f>IF(H56=0,"",I56/H56)</f>
        <v/>
      </c>
      <c r="M56" s="5" t="str">
        <f>IF(G56=0,"",I56/G56)</f>
        <v/>
      </c>
      <c r="N56" s="5">
        <f>IF(C56="Batsman",
(J56/$J$62*0.6)+(K56/$K$62*0.4),
IF(C56="Wicketkeeper",
(J56/$J$62*0.55)+(K56/$K$62*0.45),
IF(C56="Bowler",
(($L$62/L56)*0.55)+(($M$62/M56)*0.45),
(J56/$J$62*0.35)+(K56/$K$62*0.25)+(($L$62/L56)*0.2)+(($M$62/M56)*0.2)
)))</f>
        <v>1.1729732739679579</v>
      </c>
      <c r="O56" s="5">
        <f>N56/raw_data!N47</f>
        <v>8.886161166423924E-2</v>
      </c>
    </row>
    <row r="57" spans="1:15" x14ac:dyDescent="0.25">
      <c r="A57" t="str">
        <f>raw_data!A58</f>
        <v>P057</v>
      </c>
      <c r="B57" t="str">
        <f>raw_data!B58</f>
        <v>Darshil Vora</v>
      </c>
      <c r="C57" t="str">
        <f>raw_data!C58</f>
        <v>Wicketkeeper</v>
      </c>
      <c r="D57">
        <f>raw_data!D58</f>
        <v>13</v>
      </c>
      <c r="E57">
        <f>raw_data!E58</f>
        <v>360</v>
      </c>
      <c r="F57">
        <f>raw_data!F58</f>
        <v>275</v>
      </c>
      <c r="G57">
        <f>raw_data!I58</f>
        <v>0</v>
      </c>
      <c r="H57">
        <f>raw_data!J58</f>
        <v>0</v>
      </c>
      <c r="I57">
        <f>raw_data!K58</f>
        <v>0</v>
      </c>
      <c r="J57" s="5">
        <f>IF(F57=0,"",(E57/F57)*100)</f>
        <v>130.90909090909091</v>
      </c>
      <c r="K57" s="5">
        <f>IF(D57=0,"",E57/D57)</f>
        <v>27.692307692307693</v>
      </c>
      <c r="L57" s="5" t="str">
        <f>IF(H57=0,"",I57/H57)</f>
        <v/>
      </c>
      <c r="M57" s="5" t="str">
        <f>IF(G57=0,"",I57/G57)</f>
        <v/>
      </c>
      <c r="N57" s="5">
        <f>IF(C57="Batsman",
(J57/$J$62*0.6)+(K57/$K$62*0.4),
IF(C57="Wicketkeeper",
(J57/$J$62*0.55)+(K57/$K$62*0.45),
IF(C57="Bowler",
(($L$62/L57)*0.55)+(($M$62/M57)*0.45),
(J57/$J$62*0.35)+(K57/$K$62*0.25)+(($L$62/L57)*0.2)+(($M$62/M57)*0.2)
)))</f>
        <v>1.081586554463184</v>
      </c>
      <c r="O57" s="5">
        <f>N57/raw_data!N58</f>
        <v>8.5164295627022366E-2</v>
      </c>
    </row>
    <row r="58" spans="1:15" x14ac:dyDescent="0.25">
      <c r="A58" t="str">
        <f>raw_data!A8</f>
        <v>P007</v>
      </c>
      <c r="B58" t="str">
        <f>raw_data!B8</f>
        <v>Rajat Talwar</v>
      </c>
      <c r="C58" t="str">
        <f>raw_data!C8</f>
        <v>Batsman</v>
      </c>
      <c r="D58">
        <f>raw_data!D8</f>
        <v>14</v>
      </c>
      <c r="E58">
        <f>raw_data!E8</f>
        <v>525</v>
      </c>
      <c r="F58">
        <f>raw_data!F8</f>
        <v>415</v>
      </c>
      <c r="G58">
        <f>raw_data!I8</f>
        <v>1</v>
      </c>
      <c r="H58">
        <f>raw_data!J8</f>
        <v>2</v>
      </c>
      <c r="I58">
        <f>raw_data!K8</f>
        <v>20</v>
      </c>
      <c r="J58" s="5">
        <f>IF(F58=0,"",(E58/F58)*100)</f>
        <v>126.50602409638554</v>
      </c>
      <c r="K58" s="5">
        <f>IF(D58=0,"",E58/D58)</f>
        <v>37.5</v>
      </c>
      <c r="L58" s="5">
        <f>IF(H58=0,"",I58/H58)</f>
        <v>10</v>
      </c>
      <c r="M58" s="5">
        <f>IF(G58=0,"",I58/G58)</f>
        <v>20</v>
      </c>
      <c r="N58" s="5">
        <f>IF(C58="Batsman",
(J58/$J$62*0.6)+(K58/$K$62*0.4),
IF(C58="Wicketkeeper",
(J58/$J$62*0.55)+(K58/$K$62*0.45),
IF(C58="Bowler",
(($L$62/L58)*0.55)+(($M$62/M58)*0.45),
(J58/$J$62*0.35)+(K58/$K$62*0.25)+(($L$62/L58)*0.2)+(($M$62/M58)*0.2)
)))</f>
        <v>1.2221069054432523</v>
      </c>
      <c r="O58" s="5">
        <f>N58/raw_data!N8</f>
        <v>7.8340186246362326E-2</v>
      </c>
    </row>
    <row r="59" spans="1:15" x14ac:dyDescent="0.25">
      <c r="A59" t="str">
        <f>raw_data!A6</f>
        <v>P005</v>
      </c>
      <c r="B59" t="str">
        <f>raw_data!B6</f>
        <v>Yash Vartak</v>
      </c>
      <c r="C59" t="str">
        <f>raw_data!C6</f>
        <v>Batsman</v>
      </c>
      <c r="D59">
        <f>raw_data!D6</f>
        <v>13</v>
      </c>
      <c r="E59">
        <f>raw_data!E6</f>
        <v>540</v>
      </c>
      <c r="F59">
        <f>raw_data!F6</f>
        <v>402</v>
      </c>
      <c r="G59">
        <f>raw_data!I6</f>
        <v>2</v>
      </c>
      <c r="H59">
        <f>raw_data!J6</f>
        <v>3</v>
      </c>
      <c r="I59">
        <f>raw_data!K6</f>
        <v>25</v>
      </c>
      <c r="J59" s="5">
        <f>IF(F59=0,"",(E59/F59)*100)</f>
        <v>134.32835820895522</v>
      </c>
      <c r="K59" s="5">
        <f>IF(D59=0,"",E59/D59)</f>
        <v>41.53846153846154</v>
      </c>
      <c r="L59" s="5">
        <f>IF(H59=0,"",I59/H59)</f>
        <v>8.3333333333333339</v>
      </c>
      <c r="M59" s="5">
        <f>IF(G59=0,"",I59/G59)</f>
        <v>12.5</v>
      </c>
      <c r="N59" s="5">
        <f>IF(C59="Batsman",
(J59/$J$62*0.6)+(K59/$K$62*0.4),
IF(C59="Wicketkeeper",
(J59/$J$62*0.55)+(K59/$K$62*0.45),
IF(C59="Bowler",
(($L$62/L59)*0.55)+(($M$62/M59)*0.45),
(J59/$J$62*0.35)+(K59/$K$62*0.25)+(($L$62/L59)*0.2)+(($M$62/M59)*0.2)
)))</f>
        <v>1.3279097077353814</v>
      </c>
      <c r="O59" s="5">
        <f>N59/raw_data!N6</f>
        <v>7.6757786574299505E-2</v>
      </c>
    </row>
    <row r="60" spans="1:15" x14ac:dyDescent="0.25">
      <c r="A60" t="str">
        <f>raw_data!A50</f>
        <v>P049</v>
      </c>
      <c r="B60" t="str">
        <f>raw_data!B50</f>
        <v>Saket Bafna</v>
      </c>
      <c r="C60" t="str">
        <f>raw_data!C50</f>
        <v>Wicketkeeper</v>
      </c>
      <c r="D60">
        <f>raw_data!D50</f>
        <v>13</v>
      </c>
      <c r="E60">
        <f>raw_data!E50</f>
        <v>410</v>
      </c>
      <c r="F60">
        <f>raw_data!F50</f>
        <v>315</v>
      </c>
      <c r="G60">
        <f>raw_data!I50</f>
        <v>0</v>
      </c>
      <c r="H60">
        <f>raw_data!J50</f>
        <v>0</v>
      </c>
      <c r="I60">
        <f>raw_data!K50</f>
        <v>0</v>
      </c>
      <c r="J60" s="5">
        <f>IF(F60=0,"",(E60/F60)*100)</f>
        <v>130.15873015873015</v>
      </c>
      <c r="K60" s="5">
        <f>IF(D60=0,"",E60/D60)</f>
        <v>31.53846153846154</v>
      </c>
      <c r="L60" s="5" t="str">
        <f>IF(H60=0,"",I60/H60)</f>
        <v/>
      </c>
      <c r="M60" s="5" t="str">
        <f>IF(G60=0,"",I60/G60)</f>
        <v/>
      </c>
      <c r="N60" s="5">
        <f>IF(C60="Batsman",
(J60/$J$62*0.6)+(K60/$K$62*0.4),
IF(C60="Wicketkeeper",
(J60/$J$62*0.55)+(K60/$K$62*0.45),
IF(C60="Bowler",
(($L$62/L60)*0.55)+(($M$62/M60)*0.45),
(J60/$J$62*0.35)+(K60/$K$62*0.25)+(($L$62/L60)*0.2)+(($M$62/M60)*0.2)
)))</f>
        <v>1.1546017774672683</v>
      </c>
      <c r="O60" s="5">
        <f>N60/raw_data!N50</f>
        <v>7.3076061865016986E-2</v>
      </c>
    </row>
    <row r="61" spans="1:15" x14ac:dyDescent="0.25">
      <c r="A61" t="str">
        <f>raw_data!A52</f>
        <v>P051</v>
      </c>
      <c r="B61" t="str">
        <f>raw_data!B52</f>
        <v>Naman Luthra</v>
      </c>
      <c r="C61" t="str">
        <f>raw_data!C52</f>
        <v>Wicketkeeper</v>
      </c>
      <c r="D61">
        <f>raw_data!D52</f>
        <v>14</v>
      </c>
      <c r="E61">
        <f>raw_data!E52</f>
        <v>420</v>
      </c>
      <c r="F61">
        <f>raw_data!F52</f>
        <v>320</v>
      </c>
      <c r="G61">
        <f>raw_data!I52</f>
        <v>0</v>
      </c>
      <c r="H61">
        <f>raw_data!J52</f>
        <v>0</v>
      </c>
      <c r="I61">
        <f>raw_data!K52</f>
        <v>0</v>
      </c>
      <c r="J61" s="5">
        <f>IF(F61=0,"",(E61/F61)*100)</f>
        <v>131.25</v>
      </c>
      <c r="K61" s="5">
        <f>IF(D61=0,"",E61/D61)</f>
        <v>30</v>
      </c>
      <c r="L61" s="5" t="str">
        <f>IF(H61=0,"",I61/H61)</f>
        <v/>
      </c>
      <c r="M61" s="5" t="str">
        <f>IF(G61=0,"",I61/G61)</f>
        <v/>
      </c>
      <c r="N61" s="5">
        <f>IF(C61="Batsman",
(J61/$J$62*0.6)+(K61/$K$62*0.4),
IF(C61="Wicketkeeper",
(J61/$J$62*0.55)+(K61/$K$62*0.45),
IF(C61="Bowler",
(($L$62/L61)*0.55)+(($M$62/M61)*0.45),
(J61/$J$62*0.35)+(K61/$K$62*0.25)+(($L$62/L61)*0.2)+(($M$62/M61)*0.2)
)))</f>
        <v>1.1286218859409196</v>
      </c>
      <c r="O61" s="5">
        <f>N61/raw_data!N52</f>
        <v>6.4492679196623978E-2</v>
      </c>
    </row>
    <row r="62" spans="1:15" x14ac:dyDescent="0.25">
      <c r="J62" s="8">
        <f>AVERAGE(J2:J61)</f>
        <v>134.87054775111264</v>
      </c>
      <c r="K62" s="9">
        <f>AVERAGE(K2:K61)</f>
        <v>22.750773300773297</v>
      </c>
      <c r="L62" s="9">
        <f>AVERAGE(J2:J61)</f>
        <v>134.87054775111264</v>
      </c>
      <c r="M62" s="9">
        <f>AVERAGE(M2:M61)</f>
        <v>22.481822617404216</v>
      </c>
    </row>
    <row r="63" spans="1:15" x14ac:dyDescent="0.25">
      <c r="J63" s="1"/>
    </row>
  </sheetData>
  <sortState ref="A2:O63">
    <sortCondition descending="1" ref="O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sqref="A1:A1048576"/>
    </sheetView>
  </sheetViews>
  <sheetFormatPr defaultRowHeight="15" x14ac:dyDescent="0.25"/>
  <cols>
    <col min="1" max="1" width="17.28515625" customWidth="1"/>
    <col min="2" max="7" width="14.85546875" customWidth="1"/>
    <col min="8" max="8" width="15.140625" customWidth="1"/>
    <col min="9" max="9" width="12.28515625" customWidth="1"/>
  </cols>
  <sheetData>
    <row r="1" spans="1:11" x14ac:dyDescent="0.25">
      <c r="A1" t="s">
        <v>85</v>
      </c>
      <c r="B1" t="s">
        <v>1</v>
      </c>
      <c r="C1" t="s">
        <v>86</v>
      </c>
      <c r="D1" t="s">
        <v>87</v>
      </c>
      <c r="E1" t="s">
        <v>88</v>
      </c>
      <c r="F1" t="s">
        <v>97</v>
      </c>
      <c r="H1" s="1" t="s">
        <v>94</v>
      </c>
    </row>
    <row r="2" spans="1:11" ht="15" customHeight="1" x14ac:dyDescent="0.25">
      <c r="A2" t="str">
        <f>player_metrics!B54</f>
        <v>Vivek Shetty</v>
      </c>
      <c r="B2" t="str">
        <f>player_metrics!C54</f>
        <v>Wicketkeeper</v>
      </c>
      <c r="C2">
        <f>raw_data!N54</f>
        <v>4.3</v>
      </c>
      <c r="D2">
        <f>player_metrics!N54</f>
        <v>1.0822315056758762</v>
      </c>
      <c r="E2">
        <f>player_metrics!O54</f>
        <v>9.1714534379311541E-2</v>
      </c>
      <c r="F2">
        <v>1</v>
      </c>
      <c r="H2" s="3" t="s">
        <v>95</v>
      </c>
      <c r="I2">
        <f>SUM(F2:F61)</f>
        <v>12</v>
      </c>
      <c r="J2" s="4"/>
      <c r="K2" s="4"/>
    </row>
    <row r="3" spans="1:11" x14ac:dyDescent="0.25">
      <c r="A3" t="str">
        <f>player_metrics!B24</f>
        <v>Samarjeet Gill</v>
      </c>
      <c r="B3" t="str">
        <f>player_metrics!C24</f>
        <v>All-Rounder</v>
      </c>
      <c r="C3">
        <f>raw_data!N24</f>
        <v>4.5</v>
      </c>
      <c r="D3">
        <f>player_metrics!N24</f>
        <v>3.7558658431091638</v>
      </c>
      <c r="E3">
        <f>player_metrics!O24</f>
        <v>0.34457484799166638</v>
      </c>
      <c r="F3">
        <v>0</v>
      </c>
      <c r="H3" s="2" t="s">
        <v>89</v>
      </c>
      <c r="I3">
        <v>90</v>
      </c>
      <c r="J3" s="1"/>
    </row>
    <row r="4" spans="1:11" x14ac:dyDescent="0.25">
      <c r="A4" t="str">
        <f>player_metrics!B12</f>
        <v>Keshav Rawat</v>
      </c>
      <c r="B4" t="str">
        <f>player_metrics!C12</f>
        <v>Bowler</v>
      </c>
      <c r="C4">
        <f>raw_data!N12</f>
        <v>4.8</v>
      </c>
      <c r="D4">
        <f>player_metrics!N12</f>
        <v>9.8167234245716237</v>
      </c>
      <c r="E4">
        <f>player_metrics!O12</f>
        <v>0.8764931629081808</v>
      </c>
      <c r="F4">
        <v>1</v>
      </c>
      <c r="H4" s="2" t="s">
        <v>90</v>
      </c>
      <c r="I4">
        <f>COUNTIFS(B2:B61,"Batsman",F2:F61,1)</f>
        <v>4</v>
      </c>
      <c r="J4" s="1"/>
    </row>
    <row r="5" spans="1:11" ht="15.75" customHeight="1" x14ac:dyDescent="0.25">
      <c r="A5" t="str">
        <f>player_metrics!B51</f>
        <v>Dev Malhotra</v>
      </c>
      <c r="B5" t="str">
        <f>player_metrics!C51</f>
        <v>Batsman</v>
      </c>
      <c r="C5">
        <f>raw_data!N51</f>
        <v>5.0999999999999996</v>
      </c>
      <c r="D5">
        <f>player_metrics!N51</f>
        <v>1.3603784152107892</v>
      </c>
      <c r="E5">
        <f>player_metrics!O51</f>
        <v>0.1115064274762942</v>
      </c>
      <c r="F5">
        <v>1</v>
      </c>
      <c r="H5" s="2" t="s">
        <v>91</v>
      </c>
      <c r="I5">
        <f>COUNTIFS(B2:B61,"Bowler",F2:F61,1)</f>
        <v>4</v>
      </c>
      <c r="J5" s="1"/>
    </row>
    <row r="6" spans="1:11" ht="15.75" customHeight="1" x14ac:dyDescent="0.25">
      <c r="A6" t="str">
        <f>player_metrics!B16</f>
        <v>Laksh Nayak</v>
      </c>
      <c r="B6" t="str">
        <f>player_metrics!C16</f>
        <v>Bowler</v>
      </c>
      <c r="C6">
        <f>raw_data!N16</f>
        <v>5.2</v>
      </c>
      <c r="D6">
        <f>player_metrics!N16</f>
        <v>9.4410094633452548</v>
      </c>
      <c r="E6">
        <f>player_metrics!O16</f>
        <v>0.6648598213623419</v>
      </c>
      <c r="F6">
        <v>1</v>
      </c>
      <c r="H6" s="2" t="s">
        <v>92</v>
      </c>
      <c r="I6">
        <f>COUNTIFS(B2:B61,"All-Rounder",F2:F61,1)</f>
        <v>3</v>
      </c>
    </row>
    <row r="7" spans="1:11" x14ac:dyDescent="0.25">
      <c r="A7" t="str">
        <f>player_metrics!B39</f>
        <v>Keshin Parekh</v>
      </c>
      <c r="B7" t="str">
        <f>player_metrics!C39</f>
        <v>Wicketkeeper</v>
      </c>
      <c r="C7">
        <f>raw_data!N39</f>
        <v>5.2</v>
      </c>
      <c r="D7">
        <f>player_metrics!N39</f>
        <v>0.99675823628211746</v>
      </c>
      <c r="E7">
        <f>player_metrics!O39</f>
        <v>0.18458485857076248</v>
      </c>
      <c r="F7">
        <v>0</v>
      </c>
      <c r="H7" s="2" t="s">
        <v>93</v>
      </c>
      <c r="I7">
        <f>COUNTIFS(B2:B61,"Wicketkeeper",F2:F61,1)</f>
        <v>1</v>
      </c>
    </row>
    <row r="8" spans="1:11" x14ac:dyDescent="0.25">
      <c r="A8" t="str">
        <f>player_metrics!B59</f>
        <v>Yash Vartak</v>
      </c>
      <c r="B8" t="str">
        <f>player_metrics!C59</f>
        <v>Batsman</v>
      </c>
      <c r="C8">
        <f>raw_data!N59</f>
        <v>5.4</v>
      </c>
      <c r="D8">
        <f>player_metrics!N59</f>
        <v>1.3279097077353814</v>
      </c>
      <c r="E8">
        <f>player_metrics!O59</f>
        <v>7.6757786574299505E-2</v>
      </c>
      <c r="F8">
        <v>1</v>
      </c>
    </row>
    <row r="9" spans="1:11" x14ac:dyDescent="0.25">
      <c r="A9" t="str">
        <f>player_metrics!B7</f>
        <v>Mohit Deshpande</v>
      </c>
      <c r="B9" t="str">
        <f>player_metrics!C7</f>
        <v>Bowler</v>
      </c>
      <c r="C9">
        <f>raw_data!N7</f>
        <v>5.5</v>
      </c>
      <c r="D9">
        <f>player_metrics!N7</f>
        <v>9.3061289586867098</v>
      </c>
      <c r="E9">
        <f>player_metrics!O7</f>
        <v>1.2408171944915614</v>
      </c>
      <c r="F9">
        <v>0</v>
      </c>
    </row>
    <row r="10" spans="1:11" x14ac:dyDescent="0.25">
      <c r="A10" t="str">
        <f>player_metrics!B10</f>
        <v>Siddharth Kaulkar</v>
      </c>
      <c r="B10" t="str">
        <f>player_metrics!C10</f>
        <v>Bowler</v>
      </c>
      <c r="C10">
        <f>raw_data!N10</f>
        <v>5.8</v>
      </c>
      <c r="D10">
        <f>player_metrics!N10</f>
        <v>9.6095939874064147</v>
      </c>
      <c r="E10">
        <f>player_metrics!O10</f>
        <v>0.99067979251612526</v>
      </c>
      <c r="F10">
        <v>0</v>
      </c>
      <c r="H10" s="3" t="s">
        <v>96</v>
      </c>
      <c r="I10">
        <f>SUMPRODUCT(D2:D61,F2:F61)</f>
        <v>56.466573981049237</v>
      </c>
    </row>
    <row r="11" spans="1:11" x14ac:dyDescent="0.25">
      <c r="A11" t="str">
        <f>player_metrics!B28</f>
        <v>Siddhant Gokhale</v>
      </c>
      <c r="B11" t="str">
        <f>player_metrics!C28</f>
        <v>All-Rounder</v>
      </c>
      <c r="C11">
        <f>raw_data!N28</f>
        <v>5.8</v>
      </c>
      <c r="D11">
        <f>player_metrics!N28</f>
        <v>3.9452042429289049</v>
      </c>
      <c r="E11">
        <f>player_metrics!O28</f>
        <v>0.29008854727418421</v>
      </c>
      <c r="F11">
        <v>1</v>
      </c>
    </row>
    <row r="12" spans="1:11" x14ac:dyDescent="0.25">
      <c r="A12" t="str">
        <f>player_metrics!B5</f>
        <v>Yuvraj Mahadik</v>
      </c>
      <c r="B12" t="str">
        <f>player_metrics!C5</f>
        <v>Bowler</v>
      </c>
      <c r="C12">
        <f>raw_data!N5</f>
        <v>6.2</v>
      </c>
      <c r="D12">
        <f>player_metrics!N5</f>
        <v>9.3429173956970075</v>
      </c>
      <c r="E12">
        <f>player_metrics!O5</f>
        <v>1.3159038585488743</v>
      </c>
      <c r="F12">
        <v>0</v>
      </c>
    </row>
    <row r="13" spans="1:11" x14ac:dyDescent="0.25">
      <c r="A13" t="str">
        <f>player_metrics!B21</f>
        <v>Manav Reddy</v>
      </c>
      <c r="B13" t="str">
        <f>player_metrics!C21</f>
        <v>All-Rounder</v>
      </c>
      <c r="C13">
        <f>raw_data!N21</f>
        <v>6.2</v>
      </c>
      <c r="D13">
        <f>player_metrics!N21</f>
        <v>3.8027759053376782</v>
      </c>
      <c r="E13">
        <f>player_metrics!O21</f>
        <v>0.41788746212501959</v>
      </c>
      <c r="F13">
        <v>0</v>
      </c>
    </row>
    <row r="14" spans="1:11" x14ac:dyDescent="0.25">
      <c r="A14" t="str">
        <f>player_metrics!B56</f>
        <v>Ritesh Walia</v>
      </c>
      <c r="B14" t="str">
        <f>player_metrics!C56</f>
        <v>Wicketkeeper</v>
      </c>
      <c r="C14">
        <f>raw_data!N56</f>
        <v>6.2</v>
      </c>
      <c r="D14">
        <f>player_metrics!N56</f>
        <v>1.1729732739679579</v>
      </c>
      <c r="E14">
        <f>player_metrics!O56</f>
        <v>8.886161166423924E-2</v>
      </c>
      <c r="F14">
        <v>0</v>
      </c>
    </row>
    <row r="15" spans="1:11" x14ac:dyDescent="0.25">
      <c r="A15" t="str">
        <f>player_metrics!B36</f>
        <v>Kunal Purohit</v>
      </c>
      <c r="B15" t="str">
        <f>player_metrics!C36</f>
        <v>Batsman</v>
      </c>
      <c r="C15">
        <f>raw_data!N36</f>
        <v>6.3</v>
      </c>
      <c r="D15">
        <f>player_metrics!N36</f>
        <v>1.2134467752705156</v>
      </c>
      <c r="E15">
        <f>player_metrics!O36</f>
        <v>0.19571722181782508</v>
      </c>
      <c r="F15">
        <v>0</v>
      </c>
    </row>
    <row r="16" spans="1:11" x14ac:dyDescent="0.25">
      <c r="A16" t="str">
        <f>player_metrics!B15</f>
        <v>Ritwik Sahaal</v>
      </c>
      <c r="B16" t="str">
        <f>player_metrics!C15</f>
        <v>Bowler</v>
      </c>
      <c r="C16">
        <f>raw_data!N15</f>
        <v>6.5</v>
      </c>
      <c r="D16">
        <f>player_metrics!N15</f>
        <v>9.1531757170931236</v>
      </c>
      <c r="E16">
        <f>player_metrics!O15</f>
        <v>0.68307281470844206</v>
      </c>
      <c r="F16">
        <v>0</v>
      </c>
    </row>
    <row r="17" spans="1:6" x14ac:dyDescent="0.25">
      <c r="A17" t="str">
        <f>player_metrics!B61</f>
        <v>Naman Luthra</v>
      </c>
      <c r="B17" t="str">
        <f>player_metrics!C61</f>
        <v>Wicketkeeper</v>
      </c>
      <c r="C17">
        <f>raw_data!N61</f>
        <v>6.5</v>
      </c>
      <c r="D17">
        <f>player_metrics!N61</f>
        <v>1.1286218859409196</v>
      </c>
      <c r="E17">
        <f>player_metrics!O61</f>
        <v>6.4492679196623978E-2</v>
      </c>
      <c r="F17">
        <v>0</v>
      </c>
    </row>
    <row r="18" spans="1:6" x14ac:dyDescent="0.25">
      <c r="A18" t="str">
        <f>player_metrics!B44</f>
        <v>Aditya Solanki</v>
      </c>
      <c r="B18" t="str">
        <f>player_metrics!C44</f>
        <v>Batsman</v>
      </c>
      <c r="C18">
        <f>raw_data!N44</f>
        <v>6.8</v>
      </c>
      <c r="D18">
        <f>player_metrics!N44</f>
        <v>1.1685663950216791</v>
      </c>
      <c r="E18">
        <f>player_metrics!O44</f>
        <v>0.13431797643927348</v>
      </c>
      <c r="F18">
        <v>0</v>
      </c>
    </row>
    <row r="19" spans="1:6" x14ac:dyDescent="0.25">
      <c r="A19" t="str">
        <f>player_metrics!B30</f>
        <v>Kartik Iyer</v>
      </c>
      <c r="B19" t="str">
        <f>player_metrics!C30</f>
        <v>All-Rounder</v>
      </c>
      <c r="C19">
        <f>raw_data!N30</f>
        <v>7.1</v>
      </c>
      <c r="D19">
        <f>player_metrics!N30</f>
        <v>3.9689447996282659</v>
      </c>
      <c r="E19">
        <f>player_metrics!O30</f>
        <v>0.261114789449228</v>
      </c>
      <c r="F19">
        <v>0</v>
      </c>
    </row>
    <row r="20" spans="1:6" x14ac:dyDescent="0.25">
      <c r="A20" t="str">
        <f>player_metrics!B25</f>
        <v>Nirav Doshi</v>
      </c>
      <c r="B20" t="str">
        <f>player_metrics!C25</f>
        <v>All-Rounder</v>
      </c>
      <c r="C20">
        <f>raw_data!N25</f>
        <v>7.2</v>
      </c>
      <c r="D20">
        <f>player_metrics!N25</f>
        <v>3.7802520727426483</v>
      </c>
      <c r="E20">
        <f>player_metrics!O25</f>
        <v>0.32871757154283898</v>
      </c>
      <c r="F20">
        <v>0</v>
      </c>
    </row>
    <row r="21" spans="1:6" x14ac:dyDescent="0.25">
      <c r="A21" t="str">
        <f>player_metrics!B19</f>
        <v>Prerit Anand</v>
      </c>
      <c r="B21" t="str">
        <f>player_metrics!C19</f>
        <v>All-Rounder</v>
      </c>
      <c r="C21">
        <f>raw_data!N19</f>
        <v>7.5</v>
      </c>
      <c r="D21">
        <f>player_metrics!N19</f>
        <v>3.6852174192921088</v>
      </c>
      <c r="E21">
        <f>player_metrics!O19</f>
        <v>0.54194373813119245</v>
      </c>
      <c r="F21">
        <v>0</v>
      </c>
    </row>
    <row r="22" spans="1:6" x14ac:dyDescent="0.25">
      <c r="A22" t="str">
        <f>player_metrics!B55</f>
        <v>Pranav Wagh</v>
      </c>
      <c r="B22" t="str">
        <f>player_metrics!C55</f>
        <v>Batsman</v>
      </c>
      <c r="C22">
        <f>raw_data!N55</f>
        <v>7.6</v>
      </c>
      <c r="D22">
        <f>player_metrics!N55</f>
        <v>1.2678615018963195</v>
      </c>
      <c r="E22">
        <f>player_metrics!O55</f>
        <v>9.1213057690382696E-2</v>
      </c>
      <c r="F22">
        <v>1</v>
      </c>
    </row>
    <row r="23" spans="1:6" x14ac:dyDescent="0.25">
      <c r="A23" t="str">
        <f>player_metrics!B34</f>
        <v>Manan Kapoor</v>
      </c>
      <c r="B23" t="str">
        <f>player_metrics!C34</f>
        <v>Batsman</v>
      </c>
      <c r="C23">
        <f>raw_data!N34</f>
        <v>8.1</v>
      </c>
      <c r="D23">
        <f>player_metrics!N34</f>
        <v>1.2196454829813344</v>
      </c>
      <c r="E23">
        <f>player_metrics!O34</f>
        <v>0.22175372417842443</v>
      </c>
      <c r="F23">
        <v>0</v>
      </c>
    </row>
    <row r="24" spans="1:6" x14ac:dyDescent="0.25">
      <c r="A24" t="str">
        <f>player_metrics!B49</f>
        <v>Ishaan Dhamija</v>
      </c>
      <c r="B24" t="str">
        <f>player_metrics!C49</f>
        <v>Batsman</v>
      </c>
      <c r="C24">
        <f>raw_data!N49</f>
        <v>8.3000000000000007</v>
      </c>
      <c r="D24">
        <f>player_metrics!N49</f>
        <v>1.2518943385166383</v>
      </c>
      <c r="E24">
        <f>player_metrics!O49</f>
        <v>0.11922803223967984</v>
      </c>
      <c r="F24">
        <v>0</v>
      </c>
    </row>
    <row r="25" spans="1:6" x14ac:dyDescent="0.25">
      <c r="A25" t="str">
        <f>player_metrics!B31</f>
        <v>Harsh Daga</v>
      </c>
      <c r="B25" t="str">
        <f>player_metrics!C31</f>
        <v>Wicketkeeper</v>
      </c>
      <c r="C25">
        <f>raw_data!N31</f>
        <v>8.4</v>
      </c>
      <c r="D25">
        <f>player_metrics!N31</f>
        <v>1.0232050022251229</v>
      </c>
      <c r="E25">
        <f>player_metrics!O31</f>
        <v>0.23795465168026114</v>
      </c>
      <c r="F25">
        <v>0</v>
      </c>
    </row>
    <row r="26" spans="1:6" x14ac:dyDescent="0.25">
      <c r="A26" t="str">
        <f>player_metrics!B4</f>
        <v>Varun Jaitley</v>
      </c>
      <c r="B26" t="str">
        <f>player_metrics!C4</f>
        <v>Bowler</v>
      </c>
      <c r="C26">
        <f>raw_data!N4</f>
        <v>8.5</v>
      </c>
      <c r="D26">
        <f>player_metrics!N4</f>
        <v>9.3061289586867098</v>
      </c>
      <c r="E26">
        <f>player_metrics!O4</f>
        <v>1.5009885417236628</v>
      </c>
      <c r="F26">
        <v>0</v>
      </c>
    </row>
    <row r="27" spans="1:6" x14ac:dyDescent="0.25">
      <c r="A27" t="str">
        <f>player_metrics!B11</f>
        <v>Gagan Trivedi</v>
      </c>
      <c r="B27" t="str">
        <f>player_metrics!C11</f>
        <v>Bowler</v>
      </c>
      <c r="C27">
        <f>raw_data!N11</f>
        <v>8.6999999999999993</v>
      </c>
      <c r="D27">
        <f>player_metrics!N11</f>
        <v>9.7219866102370798</v>
      </c>
      <c r="E27">
        <f>player_metrics!O11</f>
        <v>0.91716854813557358</v>
      </c>
      <c r="F27">
        <v>0</v>
      </c>
    </row>
    <row r="28" spans="1:6" x14ac:dyDescent="0.25">
      <c r="A28" t="str">
        <f>player_metrics!B23</f>
        <v>Amitesh Pillai</v>
      </c>
      <c r="B28" t="str">
        <f>player_metrics!C23</f>
        <v>All-Rounder</v>
      </c>
      <c r="C28">
        <f>raw_data!N23</f>
        <v>8.9</v>
      </c>
      <c r="D28">
        <f>player_metrics!N23</f>
        <v>3.7980468156347444</v>
      </c>
      <c r="E28">
        <f>player_metrics!O23</f>
        <v>0.36519680919564851</v>
      </c>
      <c r="F28">
        <v>0</v>
      </c>
    </row>
    <row r="29" spans="1:6" x14ac:dyDescent="0.25">
      <c r="A29" t="str">
        <f>player_metrics!B60</f>
        <v>Saket Bafna</v>
      </c>
      <c r="B29" t="str">
        <f>player_metrics!C60</f>
        <v>Wicketkeeper</v>
      </c>
      <c r="C29">
        <f>raw_data!N60</f>
        <v>8.9</v>
      </c>
      <c r="D29">
        <f>player_metrics!N60</f>
        <v>1.1546017774672683</v>
      </c>
      <c r="E29">
        <f>player_metrics!O60</f>
        <v>7.3076061865016986E-2</v>
      </c>
      <c r="F29">
        <v>0</v>
      </c>
    </row>
    <row r="30" spans="1:6" x14ac:dyDescent="0.25">
      <c r="A30" t="str">
        <f>player_metrics!B41</f>
        <v>Uday Patwardhan</v>
      </c>
      <c r="B30" t="str">
        <f>player_metrics!C41</f>
        <v>Wicketkeeper</v>
      </c>
      <c r="C30">
        <f>raw_data!N41</f>
        <v>9.1</v>
      </c>
      <c r="D30">
        <f>player_metrics!N41</f>
        <v>1.0184404022396851</v>
      </c>
      <c r="E30">
        <f>player_metrics!O41</f>
        <v>0.16426458100640082</v>
      </c>
      <c r="F30">
        <v>0</v>
      </c>
    </row>
    <row r="31" spans="1:6" x14ac:dyDescent="0.25">
      <c r="A31" t="str">
        <f>player_metrics!B9</f>
        <v>Rahul Divate</v>
      </c>
      <c r="B31" t="str">
        <f>player_metrics!C9</f>
        <v>Bowler</v>
      </c>
      <c r="C31">
        <f>raw_data!N9</f>
        <v>9.1999999999999993</v>
      </c>
      <c r="D31">
        <f>player_metrics!N9</f>
        <v>9.4205682818609855</v>
      </c>
      <c r="E31">
        <f>player_metrics!O9</f>
        <v>1.0584908181866275</v>
      </c>
      <c r="F31">
        <v>0</v>
      </c>
    </row>
    <row r="32" spans="1:6" x14ac:dyDescent="0.25">
      <c r="A32" t="str">
        <f>player_metrics!B53</f>
        <v>Aarav Shekhawat</v>
      </c>
      <c r="B32" t="str">
        <f>player_metrics!C53</f>
        <v>Batsman</v>
      </c>
      <c r="C32">
        <f>raw_data!N53</f>
        <v>9.1999999999999993</v>
      </c>
      <c r="D32">
        <f>player_metrics!N53</f>
        <v>1.3527342896944927</v>
      </c>
      <c r="E32">
        <f>player_metrics!O53</f>
        <v>9.3292019978930538E-2</v>
      </c>
      <c r="F32">
        <v>0</v>
      </c>
    </row>
    <row r="33" spans="1:6" x14ac:dyDescent="0.25">
      <c r="A33" t="str">
        <f>player_metrics!B46</f>
        <v>Piyush Kakkar</v>
      </c>
      <c r="B33" t="str">
        <f>player_metrics!C46</f>
        <v>Wicketkeeper</v>
      </c>
      <c r="C33">
        <f>raw_data!N46</f>
        <v>9.3000000000000007</v>
      </c>
      <c r="D33">
        <f>player_metrics!N46</f>
        <v>1.0975585920349662</v>
      </c>
      <c r="E33">
        <f>player_metrics!O46</f>
        <v>0.13223597494397182</v>
      </c>
      <c r="F33">
        <v>0</v>
      </c>
    </row>
    <row r="34" spans="1:6" x14ac:dyDescent="0.25">
      <c r="A34" t="str">
        <f>player_metrics!B18</f>
        <v>Soham Borkar</v>
      </c>
      <c r="B34" t="str">
        <f>player_metrics!C18</f>
        <v>All-Rounder</v>
      </c>
      <c r="C34">
        <f>raw_data!N18</f>
        <v>9.6999999999999993</v>
      </c>
      <c r="D34">
        <f>player_metrics!N18</f>
        <v>3.584127149034158</v>
      </c>
      <c r="E34">
        <f>player_metrics!O18</f>
        <v>0.56890907127526313</v>
      </c>
      <c r="F34">
        <v>0</v>
      </c>
    </row>
    <row r="35" spans="1:6" x14ac:dyDescent="0.25">
      <c r="A35" t="str">
        <f>player_metrics!B33</f>
        <v>Harshil Mehta</v>
      </c>
      <c r="B35" t="str">
        <f>player_metrics!C33</f>
        <v>Batsman</v>
      </c>
      <c r="C35">
        <f>raw_data!N33</f>
        <v>10.4</v>
      </c>
      <c r="D35">
        <f>player_metrics!N33</f>
        <v>1.0994704724418736</v>
      </c>
      <c r="E35">
        <f>player_metrics!O33</f>
        <v>0.22905634842539033</v>
      </c>
      <c r="F35">
        <v>0</v>
      </c>
    </row>
    <row r="36" spans="1:6" x14ac:dyDescent="0.25">
      <c r="A36" t="str">
        <f>player_metrics!B14</f>
        <v>Arpit Bansal</v>
      </c>
      <c r="B36" t="str">
        <f>player_metrics!C14</f>
        <v>All-Rounder</v>
      </c>
      <c r="C36">
        <f>raw_data!N14</f>
        <v>10.5</v>
      </c>
      <c r="D36">
        <f>player_metrics!N14</f>
        <v>3.7551441153259884</v>
      </c>
      <c r="E36">
        <f>player_metrics!O14</f>
        <v>0.7221430991011516</v>
      </c>
      <c r="F36">
        <v>0</v>
      </c>
    </row>
    <row r="37" spans="1:6" x14ac:dyDescent="0.25">
      <c r="A37" t="str">
        <f>player_metrics!B26</f>
        <v>Harit Shah</v>
      </c>
      <c r="B37" t="str">
        <f>player_metrics!C26</f>
        <v>All-Rounder</v>
      </c>
      <c r="C37">
        <f>raw_data!N26</f>
        <v>10.6</v>
      </c>
      <c r="D37">
        <f>player_metrics!N26</f>
        <v>3.837063662095102</v>
      </c>
      <c r="E37">
        <f>player_metrics!O26</f>
        <v>0.30944061791089533</v>
      </c>
      <c r="F37">
        <v>0</v>
      </c>
    </row>
    <row r="38" spans="1:6" x14ac:dyDescent="0.25">
      <c r="A38" t="str">
        <f>player_metrics!B48</f>
        <v>Lakshay Oberoi</v>
      </c>
      <c r="B38" t="str">
        <f>player_metrics!C48</f>
        <v>Wicketkeeper</v>
      </c>
      <c r="C38">
        <f>raw_data!N48</f>
        <v>10.6</v>
      </c>
      <c r="D38">
        <f>player_metrics!N48</f>
        <v>1.0772721454106104</v>
      </c>
      <c r="E38">
        <f>player_metrics!O48</f>
        <v>0.12104181409107982</v>
      </c>
      <c r="F38">
        <v>0</v>
      </c>
    </row>
    <row r="39" spans="1:6" x14ac:dyDescent="0.25">
      <c r="A39" t="str">
        <f>player_metrics!B45</f>
        <v>Karan Bhise</v>
      </c>
      <c r="B39" t="str">
        <f>player_metrics!C45</f>
        <v>Wicketkeeper</v>
      </c>
      <c r="C39">
        <f>raw_data!N45</f>
        <v>10.9</v>
      </c>
      <c r="D39">
        <f>player_metrics!N45</f>
        <v>1.0112478395310232</v>
      </c>
      <c r="E39">
        <f>player_metrics!O45</f>
        <v>0.133058926254082</v>
      </c>
      <c r="F39">
        <v>0</v>
      </c>
    </row>
    <row r="40" spans="1:6" x14ac:dyDescent="0.25">
      <c r="A40" t="str">
        <f>player_metrics!B29</f>
        <v>Vikram Khurana</v>
      </c>
      <c r="B40" t="str">
        <f>player_metrics!C29</f>
        <v>All-Rounder</v>
      </c>
      <c r="C40">
        <f>raw_data!N29</f>
        <v>11.2</v>
      </c>
      <c r="D40">
        <f>player_metrics!N29</f>
        <v>3.923273155036028</v>
      </c>
      <c r="E40">
        <f>player_metrics!O29</f>
        <v>0.26330692315678039</v>
      </c>
      <c r="F40">
        <v>1</v>
      </c>
    </row>
    <row r="41" spans="1:6" x14ac:dyDescent="0.25">
      <c r="A41" t="str">
        <f>player_metrics!B38</f>
        <v>Rohit Tamhane</v>
      </c>
      <c r="B41" t="str">
        <f>player_metrics!C38</f>
        <v>Wicketkeeper</v>
      </c>
      <c r="C41">
        <f>raw_data!N38</f>
        <v>11.5</v>
      </c>
      <c r="D41">
        <f>player_metrics!N38</f>
        <v>0.98327676233067107</v>
      </c>
      <c r="E41">
        <f>player_metrics!O38</f>
        <v>0.19279936516287668</v>
      </c>
      <c r="F41">
        <v>0</v>
      </c>
    </row>
    <row r="42" spans="1:6" x14ac:dyDescent="0.25">
      <c r="A42" t="str">
        <f>player_metrics!B17</f>
        <v>Parth Keni</v>
      </c>
      <c r="B42" t="str">
        <f>player_metrics!C17</f>
        <v>Bowler</v>
      </c>
      <c r="C42">
        <f>raw_data!N17</f>
        <v>11.8</v>
      </c>
      <c r="D42">
        <f>player_metrics!N17</f>
        <v>9.3607383501616663</v>
      </c>
      <c r="E42">
        <f>player_metrics!O17</f>
        <v>0.60391860323623658</v>
      </c>
      <c r="F42">
        <v>0</v>
      </c>
    </row>
    <row r="43" spans="1:6" x14ac:dyDescent="0.25">
      <c r="A43" t="str">
        <f>player_metrics!B57</f>
        <v>Darshil Vora</v>
      </c>
      <c r="B43" t="str">
        <f>player_metrics!C57</f>
        <v>Wicketkeeper</v>
      </c>
      <c r="C43">
        <f>raw_data!N57</f>
        <v>11.8</v>
      </c>
      <c r="D43">
        <f>player_metrics!N57</f>
        <v>1.081586554463184</v>
      </c>
      <c r="E43">
        <f>player_metrics!O57</f>
        <v>8.5164295627022366E-2</v>
      </c>
      <c r="F43">
        <v>0</v>
      </c>
    </row>
    <row r="44" spans="1:6" x14ac:dyDescent="0.25">
      <c r="A44" t="str">
        <f>player_metrics!B3</f>
        <v>Hemant Luniya</v>
      </c>
      <c r="B44" t="str">
        <f>player_metrics!C3</f>
        <v>Bowler</v>
      </c>
      <c r="C44">
        <f>raw_data!N3</f>
        <v>12.2</v>
      </c>
      <c r="D44">
        <f>player_metrics!N3</f>
        <v>9.1178810721803565</v>
      </c>
      <c r="E44">
        <f>player_metrics!O3</f>
        <v>1.5720484607207512</v>
      </c>
      <c r="F44">
        <v>0</v>
      </c>
    </row>
    <row r="45" spans="1:6" x14ac:dyDescent="0.25">
      <c r="A45" t="str">
        <f>player_metrics!B42</f>
        <v>Pratham Goyal</v>
      </c>
      <c r="B45" t="str">
        <f>player_metrics!C42</f>
        <v>Wicketkeeper</v>
      </c>
      <c r="C45">
        <f>raw_data!N42</f>
        <v>12.4</v>
      </c>
      <c r="D45">
        <f>player_metrics!N42</f>
        <v>0.98477305707036644</v>
      </c>
      <c r="E45">
        <f>player_metrics!O42</f>
        <v>0.15150354724159484</v>
      </c>
      <c r="F45">
        <v>0</v>
      </c>
    </row>
    <row r="46" spans="1:6" x14ac:dyDescent="0.25">
      <c r="A46" t="str">
        <f>player_metrics!B58</f>
        <v>Rajat Talwar</v>
      </c>
      <c r="B46" t="str">
        <f>player_metrics!C58</f>
        <v>Batsman</v>
      </c>
      <c r="C46">
        <f>raw_data!N58</f>
        <v>12.7</v>
      </c>
      <c r="D46">
        <f>player_metrics!N58</f>
        <v>1.2221069054432523</v>
      </c>
      <c r="E46">
        <f>player_metrics!O58</f>
        <v>7.8340186246362326E-2</v>
      </c>
      <c r="F46">
        <v>1</v>
      </c>
    </row>
    <row r="47" spans="1:6" x14ac:dyDescent="0.25">
      <c r="A47" t="str">
        <f>player_metrics!B32</f>
        <v>Jayant Pande</v>
      </c>
      <c r="B47" t="str">
        <f>player_metrics!C32</f>
        <v>All-Rounder</v>
      </c>
      <c r="C47">
        <f>raw_data!N32</f>
        <v>12.9</v>
      </c>
      <c r="D47">
        <f>player_metrics!N32</f>
        <v>3.9345435579598846</v>
      </c>
      <c r="E47">
        <f>player_metrics!O32</f>
        <v>0.23419902130713599</v>
      </c>
      <c r="F47">
        <v>0</v>
      </c>
    </row>
    <row r="48" spans="1:6" x14ac:dyDescent="0.25">
      <c r="A48" t="str">
        <f>player_metrics!B47</f>
        <v>Nikhil Arora</v>
      </c>
      <c r="B48" t="str">
        <f>player_metrics!C47</f>
        <v>Batsman</v>
      </c>
      <c r="C48">
        <f>raw_data!N47</f>
        <v>13.2</v>
      </c>
      <c r="D48">
        <f>player_metrics!N47</f>
        <v>1.1987355386186029</v>
      </c>
      <c r="E48">
        <f>player_metrics!O47</f>
        <v>0.13029734115419597</v>
      </c>
      <c r="F48">
        <v>0</v>
      </c>
    </row>
    <row r="49" spans="1:6" x14ac:dyDescent="0.25">
      <c r="A49" t="str">
        <f>player_metrics!B27</f>
        <v>Rohan Mankad</v>
      </c>
      <c r="B49" t="str">
        <f>player_metrics!C27</f>
        <v>All-Rounder</v>
      </c>
      <c r="C49">
        <f>raw_data!N27</f>
        <v>13.4</v>
      </c>
      <c r="D49">
        <f>player_metrics!N27</f>
        <v>3.8015510672515536</v>
      </c>
      <c r="E49">
        <f>player_metrics!O27</f>
        <v>0.29469388118229095</v>
      </c>
      <c r="F49">
        <v>0</v>
      </c>
    </row>
    <row r="50" spans="1:6" x14ac:dyDescent="0.25">
      <c r="A50" t="str">
        <f>player_metrics!B40</f>
        <v>Tanish Roy</v>
      </c>
      <c r="B50" t="str">
        <f>player_metrics!C40</f>
        <v>Batsman</v>
      </c>
      <c r="C50">
        <f>raw_data!N40</f>
        <v>13.6</v>
      </c>
      <c r="D50">
        <f>player_metrics!N40</f>
        <v>1.1579698428627307</v>
      </c>
      <c r="E50">
        <f>player_metrics!O40</f>
        <v>0.17814920659426628</v>
      </c>
      <c r="F50">
        <v>0</v>
      </c>
    </row>
    <row r="51" spans="1:6" x14ac:dyDescent="0.25">
      <c r="A51" t="str">
        <f>player_metrics!B13</f>
        <v>Arjun Bhalerao</v>
      </c>
      <c r="B51" t="str">
        <f>player_metrics!C13</f>
        <v>Bowler</v>
      </c>
      <c r="C51">
        <f>raw_data!N13</f>
        <v>13.9</v>
      </c>
      <c r="D51">
        <f>player_metrics!N13</f>
        <v>9.5966287790521747</v>
      </c>
      <c r="E51">
        <f>player_metrics!O13</f>
        <v>0.81327362534340464</v>
      </c>
      <c r="F51">
        <v>1</v>
      </c>
    </row>
    <row r="52" spans="1:6" x14ac:dyDescent="0.25">
      <c r="A52" t="str">
        <f>player_metrics!B20</f>
        <v>Dhruv Menon</v>
      </c>
      <c r="B52" t="str">
        <f>player_metrics!C20</f>
        <v>All-Rounder</v>
      </c>
      <c r="C52">
        <f>raw_data!N20</f>
        <v>14.2</v>
      </c>
      <c r="D52">
        <f>player_metrics!N20</f>
        <v>3.8254112263683746</v>
      </c>
      <c r="E52">
        <f>player_metrics!O20</f>
        <v>0.47227299090967589</v>
      </c>
      <c r="F52">
        <v>0</v>
      </c>
    </row>
    <row r="53" spans="1:6" x14ac:dyDescent="0.25">
      <c r="A53" t="str">
        <f>player_metrics!B2</f>
        <v>Neel Verma</v>
      </c>
      <c r="B53" t="str">
        <f>player_metrics!C2</f>
        <v>Bowler</v>
      </c>
      <c r="C53">
        <f>raw_data!N2</f>
        <v>14.5</v>
      </c>
      <c r="D53">
        <f>player_metrics!N2</f>
        <v>8.8432791508103907</v>
      </c>
      <c r="E53">
        <f>player_metrics!O2</f>
        <v>1.9651731446245313</v>
      </c>
      <c r="F53">
        <v>0</v>
      </c>
    </row>
    <row r="54" spans="1:6" x14ac:dyDescent="0.25">
      <c r="A54" t="str">
        <f>player_metrics!B43</f>
        <v>Rishan Bedi</v>
      </c>
      <c r="B54" t="str">
        <f>player_metrics!C43</f>
        <v>Batsman</v>
      </c>
      <c r="C54">
        <f>raw_data!N43</f>
        <v>14.9</v>
      </c>
      <c r="D54">
        <f>player_metrics!N43</f>
        <v>1.2558714763050882</v>
      </c>
      <c r="E54">
        <f>player_metrics!O43</f>
        <v>0.14774958544765743</v>
      </c>
      <c r="F54">
        <v>0</v>
      </c>
    </row>
    <row r="55" spans="1:6" x14ac:dyDescent="0.25">
      <c r="A55" t="str">
        <f>player_metrics!B35</f>
        <v>Vedant Kulkarni</v>
      </c>
      <c r="B55" t="str">
        <f>player_metrics!C35</f>
        <v>Batsman</v>
      </c>
      <c r="C55">
        <f>raw_data!N35</f>
        <v>15.2</v>
      </c>
      <c r="D55">
        <f>player_metrics!N35</f>
        <v>1.0512431702641707</v>
      </c>
      <c r="E55">
        <f>player_metrics!O35</f>
        <v>0.20216214812772512</v>
      </c>
      <c r="F55">
        <v>0</v>
      </c>
    </row>
    <row r="56" spans="1:6" x14ac:dyDescent="0.25">
      <c r="A56" t="str">
        <f>player_metrics!B22</f>
        <v>Yatin Choudhary</v>
      </c>
      <c r="B56" t="str">
        <f>player_metrics!C22</f>
        <v>All-Rounder</v>
      </c>
      <c r="C56">
        <f>raw_data!N22</f>
        <v>15.5</v>
      </c>
      <c r="D56">
        <f>player_metrics!N22</f>
        <v>3.8495683666583496</v>
      </c>
      <c r="E56">
        <f>player_metrics!O22</f>
        <v>0.41393208243638163</v>
      </c>
      <c r="F56">
        <v>1</v>
      </c>
    </row>
    <row r="57" spans="1:6" x14ac:dyDescent="0.25">
      <c r="A57" t="str">
        <f>player_metrics!B8</f>
        <v>Tarun Sethi</v>
      </c>
      <c r="B57" t="str">
        <f>player_metrics!C8</f>
        <v>Bowler</v>
      </c>
      <c r="C57">
        <f>raw_data!N8</f>
        <v>15.6</v>
      </c>
      <c r="D57">
        <f>player_metrics!N8</f>
        <v>9.6336785134952798</v>
      </c>
      <c r="E57">
        <f>player_metrics!O8</f>
        <v>1.146866489701819</v>
      </c>
      <c r="F57">
        <v>1</v>
      </c>
    </row>
    <row r="58" spans="1:6" x14ac:dyDescent="0.25">
      <c r="A58" t="str">
        <f>player_metrics!B50</f>
        <v>Tejas Panchal</v>
      </c>
      <c r="B58" t="str">
        <f>player_metrics!C50</f>
        <v>Wicketkeeper</v>
      </c>
      <c r="C58">
        <f>raw_data!N50</f>
        <v>15.8</v>
      </c>
      <c r="D58">
        <f>player_metrics!N50</f>
        <v>1.0435063665776805</v>
      </c>
      <c r="E58">
        <f>player_metrics!O50</f>
        <v>0.11342460506279137</v>
      </c>
      <c r="F58">
        <v>0</v>
      </c>
    </row>
    <row r="59" spans="1:6" x14ac:dyDescent="0.25">
      <c r="A59" t="str">
        <f>player_metrics!B37</f>
        <v>Samar Khatri</v>
      </c>
      <c r="B59" t="str">
        <f>player_metrics!C37</f>
        <v>Batsman</v>
      </c>
      <c r="C59">
        <f>raw_data!N37</f>
        <v>16.8</v>
      </c>
      <c r="D59">
        <f>player_metrics!N37</f>
        <v>1.1310801353878976</v>
      </c>
      <c r="E59">
        <f>player_metrics!O37</f>
        <v>0.19501381644618926</v>
      </c>
      <c r="F59">
        <v>0</v>
      </c>
    </row>
    <row r="60" spans="1:6" x14ac:dyDescent="0.25">
      <c r="A60" t="str">
        <f>player_metrics!B6</f>
        <v>Saurabh Pathak</v>
      </c>
      <c r="B60" t="str">
        <f>player_metrics!C6</f>
        <v>Bowler</v>
      </c>
      <c r="C60">
        <f>raw_data!N6</f>
        <v>17.3</v>
      </c>
      <c r="D60">
        <f>player_metrics!N6</f>
        <v>9.1503376043366256</v>
      </c>
      <c r="E60">
        <f>player_metrics!O6</f>
        <v>1.2708802228245313</v>
      </c>
      <c r="F60">
        <v>0</v>
      </c>
    </row>
    <row r="61" spans="1:6" x14ac:dyDescent="0.25">
      <c r="A61" t="str">
        <f>player_metrics!B52</f>
        <v>Anuj Dhingra</v>
      </c>
      <c r="B61" t="str">
        <f>player_metrics!C52</f>
        <v>Wicketkeeper</v>
      </c>
      <c r="C61">
        <f>raw_data!N52</f>
        <v>17.5</v>
      </c>
      <c r="D61">
        <f>player_metrics!N52</f>
        <v>1.1679509602545206</v>
      </c>
      <c r="E61">
        <f>player_metrics!O52</f>
        <v>0.11018405285420006</v>
      </c>
      <c r="F61">
        <v>0</v>
      </c>
    </row>
  </sheetData>
  <sortState ref="A2:F61">
    <sortCondition ref="C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61"/>
  <sheetViews>
    <sheetView tabSelected="1" topLeftCell="A2" zoomScale="85" zoomScaleNormal="85" workbookViewId="0">
      <selection activeCell="O9" sqref="O9"/>
    </sheetView>
  </sheetViews>
  <sheetFormatPr defaultRowHeight="15" x14ac:dyDescent="0.25"/>
  <cols>
    <col min="2" max="2" width="27.5703125" customWidth="1"/>
    <col min="3" max="3" width="17" customWidth="1"/>
    <col min="5" max="5" width="14.85546875" customWidth="1"/>
    <col min="8" max="8" width="15.42578125" customWidth="1"/>
    <col min="9" max="9" width="17.28515625" customWidth="1"/>
  </cols>
  <sheetData>
    <row r="1" spans="2:10" x14ac:dyDescent="0.25">
      <c r="H1" t="s">
        <v>102</v>
      </c>
      <c r="I1" t="s">
        <v>103</v>
      </c>
      <c r="J1" t="s">
        <v>104</v>
      </c>
    </row>
    <row r="2" spans="2:10" x14ac:dyDescent="0.25">
      <c r="B2" s="2" t="s">
        <v>98</v>
      </c>
      <c r="C2" s="5">
        <f>squad_selection!I3</f>
        <v>90</v>
      </c>
      <c r="E2" s="2" t="s">
        <v>90</v>
      </c>
      <c r="F2">
        <f>squad_selection!I4</f>
        <v>4</v>
      </c>
      <c r="H2" t="str">
        <f>player_metrics!B2</f>
        <v>Neel Verma</v>
      </c>
      <c r="I2">
        <f>raw_data!N2</f>
        <v>14.5</v>
      </c>
      <c r="J2" s="5">
        <f>player_metrics!N2</f>
        <v>8.8432791508103907</v>
      </c>
    </row>
    <row r="3" spans="2:10" x14ac:dyDescent="0.25">
      <c r="B3" s="2" t="s">
        <v>99</v>
      </c>
      <c r="C3" s="7">
        <f>squad_selection!I10</f>
        <v>56.466573981049237</v>
      </c>
      <c r="D3" s="4"/>
      <c r="E3" s="2" t="s">
        <v>91</v>
      </c>
      <c r="F3">
        <f>squad_selection!I5</f>
        <v>4</v>
      </c>
      <c r="H3" t="str">
        <f>player_metrics!B3</f>
        <v>Hemant Luniya</v>
      </c>
      <c r="I3">
        <f>raw_data!N3</f>
        <v>12.2</v>
      </c>
      <c r="J3" s="5">
        <f>player_metrics!N3</f>
        <v>9.1178810721803565</v>
      </c>
    </row>
    <row r="4" spans="2:10" x14ac:dyDescent="0.25">
      <c r="B4" s="2" t="s">
        <v>100</v>
      </c>
      <c r="C4" s="6">
        <f>C3/12</f>
        <v>4.7055478317541031</v>
      </c>
      <c r="E4" s="2" t="s">
        <v>92</v>
      </c>
      <c r="F4">
        <f>squad_selection!I6</f>
        <v>3</v>
      </c>
      <c r="H4" t="str">
        <f>player_metrics!B4</f>
        <v>Varun Jaitley</v>
      </c>
      <c r="I4">
        <f>raw_data!N4</f>
        <v>8.5</v>
      </c>
      <c r="J4" s="5">
        <f>player_metrics!N4</f>
        <v>9.3061289586867098</v>
      </c>
    </row>
    <row r="5" spans="2:10" x14ac:dyDescent="0.25">
      <c r="B5" s="2" t="s">
        <v>101</v>
      </c>
      <c r="C5" s="6">
        <f>90-C2</f>
        <v>0</v>
      </c>
      <c r="E5" s="2" t="s">
        <v>93</v>
      </c>
      <c r="F5">
        <f>squad_selection!I7</f>
        <v>1</v>
      </c>
      <c r="H5" t="str">
        <f>player_metrics!B5</f>
        <v>Yuvraj Mahadik</v>
      </c>
      <c r="I5">
        <f>raw_data!N5</f>
        <v>6.2</v>
      </c>
      <c r="J5" s="5">
        <f>player_metrics!N5</f>
        <v>9.3429173956970075</v>
      </c>
    </row>
    <row r="6" spans="2:10" x14ac:dyDescent="0.25">
      <c r="C6" s="1"/>
      <c r="H6" t="str">
        <f>player_metrics!B6</f>
        <v>Saurabh Pathak</v>
      </c>
      <c r="I6">
        <f>raw_data!N6</f>
        <v>17.3</v>
      </c>
      <c r="J6" s="5">
        <f>player_metrics!N6</f>
        <v>9.1503376043366256</v>
      </c>
    </row>
    <row r="7" spans="2:10" x14ac:dyDescent="0.25">
      <c r="C7" s="1"/>
      <c r="H7" t="str">
        <f>player_metrics!B7</f>
        <v>Mohit Deshpande</v>
      </c>
      <c r="I7">
        <f>raw_data!N7</f>
        <v>5.5</v>
      </c>
      <c r="J7" s="5">
        <f>player_metrics!N7</f>
        <v>9.3061289586867098</v>
      </c>
    </row>
    <row r="8" spans="2:10" x14ac:dyDescent="0.25">
      <c r="H8" t="str">
        <f>player_metrics!B8</f>
        <v>Tarun Sethi</v>
      </c>
      <c r="I8">
        <f>raw_data!N8</f>
        <v>15.6</v>
      </c>
      <c r="J8" s="5">
        <f>player_metrics!N8</f>
        <v>9.6336785134952798</v>
      </c>
    </row>
    <row r="9" spans="2:10" x14ac:dyDescent="0.25">
      <c r="H9" t="str">
        <f>player_metrics!B9</f>
        <v>Rahul Divate</v>
      </c>
      <c r="I9">
        <f>raw_data!N9</f>
        <v>9.1999999999999993</v>
      </c>
      <c r="J9" s="5">
        <f>player_metrics!N9</f>
        <v>9.4205682818609855</v>
      </c>
    </row>
    <row r="10" spans="2:10" x14ac:dyDescent="0.25">
      <c r="C10" s="4"/>
      <c r="D10" s="4"/>
      <c r="H10" t="str">
        <f>player_metrics!B10</f>
        <v>Siddharth Kaulkar</v>
      </c>
      <c r="I10">
        <f>raw_data!N10</f>
        <v>5.8</v>
      </c>
      <c r="J10" s="5">
        <f>player_metrics!N10</f>
        <v>9.6095939874064147</v>
      </c>
    </row>
    <row r="11" spans="2:10" x14ac:dyDescent="0.25">
      <c r="C11" s="1"/>
      <c r="H11" t="str">
        <f>player_metrics!B11</f>
        <v>Gagan Trivedi</v>
      </c>
      <c r="I11">
        <f>raw_data!N11</f>
        <v>8.6999999999999993</v>
      </c>
      <c r="J11" s="5">
        <f>player_metrics!N11</f>
        <v>9.7219866102370798</v>
      </c>
    </row>
    <row r="12" spans="2:10" x14ac:dyDescent="0.25">
      <c r="C12" s="1"/>
      <c r="H12" t="str">
        <f>player_metrics!B12</f>
        <v>Keshav Rawat</v>
      </c>
      <c r="I12">
        <f>raw_data!N12</f>
        <v>4.8</v>
      </c>
      <c r="J12" s="5">
        <f>player_metrics!N12</f>
        <v>9.8167234245716237</v>
      </c>
    </row>
    <row r="13" spans="2:10" x14ac:dyDescent="0.25">
      <c r="C13" s="1"/>
      <c r="H13" t="str">
        <f>player_metrics!B13</f>
        <v>Arjun Bhalerao</v>
      </c>
      <c r="I13">
        <f>raw_data!N13</f>
        <v>13.9</v>
      </c>
      <c r="J13" s="5">
        <f>player_metrics!N13</f>
        <v>9.5966287790521747</v>
      </c>
    </row>
    <row r="14" spans="2:10" x14ac:dyDescent="0.25">
      <c r="C14" s="1"/>
      <c r="H14" t="str">
        <f>player_metrics!B14</f>
        <v>Arpit Bansal</v>
      </c>
      <c r="I14">
        <f>raw_data!N14</f>
        <v>10.5</v>
      </c>
      <c r="J14" s="5">
        <f>player_metrics!N14</f>
        <v>3.7551441153259884</v>
      </c>
    </row>
    <row r="15" spans="2:10" x14ac:dyDescent="0.25">
      <c r="H15" t="str">
        <f>player_metrics!B15</f>
        <v>Ritwik Sahaal</v>
      </c>
      <c r="I15">
        <f>raw_data!N15</f>
        <v>6.5</v>
      </c>
      <c r="J15" s="5">
        <f>player_metrics!N15</f>
        <v>9.1531757170931236</v>
      </c>
    </row>
    <row r="16" spans="2:10" x14ac:dyDescent="0.25">
      <c r="H16" t="str">
        <f>player_metrics!B16</f>
        <v>Laksh Nayak</v>
      </c>
      <c r="I16">
        <f>raw_data!N16</f>
        <v>5.2</v>
      </c>
      <c r="J16" s="5">
        <f>player_metrics!N16</f>
        <v>9.4410094633452548</v>
      </c>
    </row>
    <row r="17" spans="8:10" x14ac:dyDescent="0.25">
      <c r="H17" t="str">
        <f>player_metrics!B17</f>
        <v>Parth Keni</v>
      </c>
      <c r="I17">
        <f>raw_data!N17</f>
        <v>11.8</v>
      </c>
      <c r="J17" s="5">
        <f>player_metrics!N17</f>
        <v>9.3607383501616663</v>
      </c>
    </row>
    <row r="18" spans="8:10" x14ac:dyDescent="0.25">
      <c r="H18" t="str">
        <f>player_metrics!B18</f>
        <v>Soham Borkar</v>
      </c>
      <c r="I18">
        <f>raw_data!N18</f>
        <v>9.6999999999999993</v>
      </c>
      <c r="J18" s="5">
        <f>player_metrics!N18</f>
        <v>3.584127149034158</v>
      </c>
    </row>
    <row r="19" spans="8:10" x14ac:dyDescent="0.25">
      <c r="H19" t="str">
        <f>player_metrics!B19</f>
        <v>Prerit Anand</v>
      </c>
      <c r="I19">
        <f>raw_data!N19</f>
        <v>7.5</v>
      </c>
      <c r="J19" s="5">
        <f>player_metrics!N19</f>
        <v>3.6852174192921088</v>
      </c>
    </row>
    <row r="20" spans="8:10" x14ac:dyDescent="0.25">
      <c r="H20" t="str">
        <f>player_metrics!B20</f>
        <v>Dhruv Menon</v>
      </c>
      <c r="I20">
        <f>raw_data!N20</f>
        <v>14.2</v>
      </c>
      <c r="J20" s="5">
        <f>player_metrics!N20</f>
        <v>3.8254112263683746</v>
      </c>
    </row>
    <row r="21" spans="8:10" x14ac:dyDescent="0.25">
      <c r="H21" t="str">
        <f>player_metrics!B21</f>
        <v>Manav Reddy</v>
      </c>
      <c r="I21">
        <f>raw_data!N21</f>
        <v>6.2</v>
      </c>
      <c r="J21" s="5">
        <f>player_metrics!N21</f>
        <v>3.8027759053376782</v>
      </c>
    </row>
    <row r="22" spans="8:10" x14ac:dyDescent="0.25">
      <c r="H22" t="str">
        <f>player_metrics!B22</f>
        <v>Yatin Choudhary</v>
      </c>
      <c r="I22">
        <f>raw_data!N22</f>
        <v>15.5</v>
      </c>
      <c r="J22" s="5">
        <f>player_metrics!N22</f>
        <v>3.8495683666583496</v>
      </c>
    </row>
    <row r="23" spans="8:10" x14ac:dyDescent="0.25">
      <c r="H23" t="str">
        <f>player_metrics!B23</f>
        <v>Amitesh Pillai</v>
      </c>
      <c r="I23">
        <f>raw_data!N23</f>
        <v>8.9</v>
      </c>
      <c r="J23" s="5">
        <f>player_metrics!N23</f>
        <v>3.7980468156347444</v>
      </c>
    </row>
    <row r="24" spans="8:10" x14ac:dyDescent="0.25">
      <c r="H24" t="str">
        <f>player_metrics!B24</f>
        <v>Samarjeet Gill</v>
      </c>
      <c r="I24">
        <f>raw_data!N24</f>
        <v>4.5</v>
      </c>
      <c r="J24" s="5">
        <f>player_metrics!N24</f>
        <v>3.7558658431091638</v>
      </c>
    </row>
    <row r="25" spans="8:10" x14ac:dyDescent="0.25">
      <c r="H25" t="str">
        <f>player_metrics!B25</f>
        <v>Nirav Doshi</v>
      </c>
      <c r="I25">
        <f>raw_data!N25</f>
        <v>7.2</v>
      </c>
      <c r="J25" s="5">
        <f>player_metrics!N25</f>
        <v>3.7802520727426483</v>
      </c>
    </row>
    <row r="26" spans="8:10" x14ac:dyDescent="0.25">
      <c r="H26" t="str">
        <f>player_metrics!B26</f>
        <v>Harit Shah</v>
      </c>
      <c r="I26">
        <f>raw_data!N26</f>
        <v>10.6</v>
      </c>
      <c r="J26" s="5">
        <f>player_metrics!N26</f>
        <v>3.837063662095102</v>
      </c>
    </row>
    <row r="27" spans="8:10" x14ac:dyDescent="0.25">
      <c r="H27" t="str">
        <f>player_metrics!B27</f>
        <v>Rohan Mankad</v>
      </c>
      <c r="I27">
        <f>raw_data!N27</f>
        <v>13.4</v>
      </c>
      <c r="J27" s="5">
        <f>player_metrics!N27</f>
        <v>3.8015510672515536</v>
      </c>
    </row>
    <row r="28" spans="8:10" x14ac:dyDescent="0.25">
      <c r="H28" t="str">
        <f>player_metrics!B28</f>
        <v>Siddhant Gokhale</v>
      </c>
      <c r="I28">
        <f>raw_data!N28</f>
        <v>5.8</v>
      </c>
      <c r="J28" s="5">
        <f>player_metrics!N28</f>
        <v>3.9452042429289049</v>
      </c>
    </row>
    <row r="29" spans="8:10" x14ac:dyDescent="0.25">
      <c r="H29" t="str">
        <f>player_metrics!B29</f>
        <v>Vikram Khurana</v>
      </c>
      <c r="I29">
        <f>raw_data!N29</f>
        <v>11.2</v>
      </c>
      <c r="J29" s="5">
        <f>player_metrics!N29</f>
        <v>3.923273155036028</v>
      </c>
    </row>
    <row r="30" spans="8:10" x14ac:dyDescent="0.25">
      <c r="H30" t="str">
        <f>player_metrics!B30</f>
        <v>Kartik Iyer</v>
      </c>
      <c r="I30">
        <f>raw_data!N30</f>
        <v>7.1</v>
      </c>
      <c r="J30" s="5">
        <f>player_metrics!N30</f>
        <v>3.9689447996282659</v>
      </c>
    </row>
    <row r="31" spans="8:10" x14ac:dyDescent="0.25">
      <c r="H31" t="str">
        <f>player_metrics!B31</f>
        <v>Harsh Daga</v>
      </c>
      <c r="I31">
        <f>raw_data!N31</f>
        <v>8.4</v>
      </c>
      <c r="J31" s="5">
        <f>player_metrics!N31</f>
        <v>1.0232050022251229</v>
      </c>
    </row>
    <row r="32" spans="8:10" x14ac:dyDescent="0.25">
      <c r="H32" t="str">
        <f>player_metrics!B32</f>
        <v>Jayant Pande</v>
      </c>
      <c r="I32">
        <f>raw_data!N32</f>
        <v>12.9</v>
      </c>
      <c r="J32" s="5">
        <f>player_metrics!N32</f>
        <v>3.9345435579598846</v>
      </c>
    </row>
    <row r="33" spans="8:10" x14ac:dyDescent="0.25">
      <c r="H33" t="str">
        <f>player_metrics!B33</f>
        <v>Harshil Mehta</v>
      </c>
      <c r="I33">
        <f>raw_data!N33</f>
        <v>10.4</v>
      </c>
      <c r="J33" s="5">
        <f>player_metrics!N33</f>
        <v>1.0994704724418736</v>
      </c>
    </row>
    <row r="34" spans="8:10" x14ac:dyDescent="0.25">
      <c r="H34" t="str">
        <f>player_metrics!B34</f>
        <v>Manan Kapoor</v>
      </c>
      <c r="I34">
        <f>raw_data!N34</f>
        <v>8.1</v>
      </c>
      <c r="J34" s="5">
        <f>player_metrics!N34</f>
        <v>1.2196454829813344</v>
      </c>
    </row>
    <row r="35" spans="8:10" x14ac:dyDescent="0.25">
      <c r="H35" t="str">
        <f>player_metrics!B35</f>
        <v>Vedant Kulkarni</v>
      </c>
      <c r="I35">
        <f>raw_data!N35</f>
        <v>15.2</v>
      </c>
      <c r="J35" s="5">
        <f>player_metrics!N35</f>
        <v>1.0512431702641707</v>
      </c>
    </row>
    <row r="36" spans="8:10" x14ac:dyDescent="0.25">
      <c r="H36" t="str">
        <f>player_metrics!B36</f>
        <v>Kunal Purohit</v>
      </c>
      <c r="I36">
        <f>raw_data!N36</f>
        <v>6.3</v>
      </c>
      <c r="J36" s="5">
        <f>player_metrics!N36</f>
        <v>1.2134467752705156</v>
      </c>
    </row>
    <row r="37" spans="8:10" x14ac:dyDescent="0.25">
      <c r="H37" t="str">
        <f>player_metrics!B37</f>
        <v>Samar Khatri</v>
      </c>
      <c r="I37">
        <f>raw_data!N37</f>
        <v>16.8</v>
      </c>
      <c r="J37" s="5">
        <f>player_metrics!N37</f>
        <v>1.1310801353878976</v>
      </c>
    </row>
    <row r="38" spans="8:10" x14ac:dyDescent="0.25">
      <c r="H38" t="str">
        <f>player_metrics!B38</f>
        <v>Rohit Tamhane</v>
      </c>
      <c r="I38">
        <f>raw_data!N38</f>
        <v>11.5</v>
      </c>
      <c r="J38" s="5">
        <f>player_metrics!N38</f>
        <v>0.98327676233067107</v>
      </c>
    </row>
    <row r="39" spans="8:10" x14ac:dyDescent="0.25">
      <c r="H39" t="str">
        <f>player_metrics!B39</f>
        <v>Keshin Parekh</v>
      </c>
      <c r="I39">
        <f>raw_data!N39</f>
        <v>5.2</v>
      </c>
      <c r="J39" s="5">
        <f>player_metrics!N39</f>
        <v>0.99675823628211746</v>
      </c>
    </row>
    <row r="40" spans="8:10" x14ac:dyDescent="0.25">
      <c r="H40" t="str">
        <f>player_metrics!B40</f>
        <v>Tanish Roy</v>
      </c>
      <c r="I40">
        <f>raw_data!N40</f>
        <v>13.6</v>
      </c>
      <c r="J40" s="5">
        <f>player_metrics!N40</f>
        <v>1.1579698428627307</v>
      </c>
    </row>
    <row r="41" spans="8:10" x14ac:dyDescent="0.25">
      <c r="H41" t="str">
        <f>player_metrics!B41</f>
        <v>Uday Patwardhan</v>
      </c>
      <c r="I41">
        <f>raw_data!N41</f>
        <v>9.1</v>
      </c>
      <c r="J41" s="5">
        <f>player_metrics!N41</f>
        <v>1.0184404022396851</v>
      </c>
    </row>
    <row r="42" spans="8:10" x14ac:dyDescent="0.25">
      <c r="H42" t="str">
        <f>player_metrics!B42</f>
        <v>Pratham Goyal</v>
      </c>
      <c r="I42">
        <f>raw_data!N42</f>
        <v>12.4</v>
      </c>
      <c r="J42" s="5">
        <f>player_metrics!N42</f>
        <v>0.98477305707036644</v>
      </c>
    </row>
    <row r="43" spans="8:10" x14ac:dyDescent="0.25">
      <c r="H43" t="str">
        <f>player_metrics!B43</f>
        <v>Rishan Bedi</v>
      </c>
      <c r="I43">
        <f>raw_data!N43</f>
        <v>14.9</v>
      </c>
      <c r="J43" s="5">
        <f>player_metrics!N43</f>
        <v>1.2558714763050882</v>
      </c>
    </row>
    <row r="44" spans="8:10" x14ac:dyDescent="0.25">
      <c r="H44" t="str">
        <f>player_metrics!B44</f>
        <v>Aditya Solanki</v>
      </c>
      <c r="I44">
        <f>raw_data!N44</f>
        <v>6.8</v>
      </c>
      <c r="J44" s="5">
        <f>player_metrics!N44</f>
        <v>1.1685663950216791</v>
      </c>
    </row>
    <row r="45" spans="8:10" x14ac:dyDescent="0.25">
      <c r="H45" t="str">
        <f>player_metrics!B45</f>
        <v>Karan Bhise</v>
      </c>
      <c r="I45">
        <f>raw_data!N45</f>
        <v>10.9</v>
      </c>
      <c r="J45" s="5">
        <f>player_metrics!N45</f>
        <v>1.0112478395310232</v>
      </c>
    </row>
    <row r="46" spans="8:10" x14ac:dyDescent="0.25">
      <c r="H46" t="str">
        <f>player_metrics!B46</f>
        <v>Piyush Kakkar</v>
      </c>
      <c r="I46">
        <f>raw_data!N46</f>
        <v>9.3000000000000007</v>
      </c>
      <c r="J46" s="5">
        <f>player_metrics!N46</f>
        <v>1.0975585920349662</v>
      </c>
    </row>
    <row r="47" spans="8:10" x14ac:dyDescent="0.25">
      <c r="H47" t="str">
        <f>player_metrics!B47</f>
        <v>Nikhil Arora</v>
      </c>
      <c r="I47">
        <f>raw_data!N47</f>
        <v>13.2</v>
      </c>
      <c r="J47" s="5">
        <f>player_metrics!N47</f>
        <v>1.1987355386186029</v>
      </c>
    </row>
    <row r="48" spans="8:10" x14ac:dyDescent="0.25">
      <c r="H48" t="str">
        <f>player_metrics!B48</f>
        <v>Lakshay Oberoi</v>
      </c>
      <c r="I48">
        <f>raw_data!N48</f>
        <v>10.6</v>
      </c>
      <c r="J48" s="5">
        <f>player_metrics!N48</f>
        <v>1.0772721454106104</v>
      </c>
    </row>
    <row r="49" spans="8:10" x14ac:dyDescent="0.25">
      <c r="H49" t="str">
        <f>player_metrics!B49</f>
        <v>Ishaan Dhamija</v>
      </c>
      <c r="I49">
        <f>raw_data!N49</f>
        <v>8.3000000000000007</v>
      </c>
      <c r="J49" s="5">
        <f>player_metrics!N49</f>
        <v>1.2518943385166383</v>
      </c>
    </row>
    <row r="50" spans="8:10" x14ac:dyDescent="0.25">
      <c r="H50" t="str">
        <f>player_metrics!B50</f>
        <v>Tejas Panchal</v>
      </c>
      <c r="I50">
        <f>raw_data!N50</f>
        <v>15.8</v>
      </c>
      <c r="J50" s="5">
        <f>player_metrics!N50</f>
        <v>1.0435063665776805</v>
      </c>
    </row>
    <row r="51" spans="8:10" x14ac:dyDescent="0.25">
      <c r="H51" t="str">
        <f>player_metrics!B51</f>
        <v>Dev Malhotra</v>
      </c>
      <c r="I51">
        <f>raw_data!N51</f>
        <v>5.0999999999999996</v>
      </c>
      <c r="J51" s="5">
        <f>player_metrics!N51</f>
        <v>1.3603784152107892</v>
      </c>
    </row>
    <row r="52" spans="8:10" x14ac:dyDescent="0.25">
      <c r="H52" t="str">
        <f>player_metrics!B52</f>
        <v>Anuj Dhingra</v>
      </c>
      <c r="I52">
        <f>raw_data!N52</f>
        <v>17.5</v>
      </c>
      <c r="J52" s="5">
        <f>player_metrics!N52</f>
        <v>1.1679509602545206</v>
      </c>
    </row>
    <row r="53" spans="8:10" x14ac:dyDescent="0.25">
      <c r="H53" t="str">
        <f>player_metrics!B53</f>
        <v>Aarav Shekhawat</v>
      </c>
      <c r="I53">
        <f>raw_data!N53</f>
        <v>9.1999999999999993</v>
      </c>
      <c r="J53" s="5">
        <f>player_metrics!N53</f>
        <v>1.3527342896944927</v>
      </c>
    </row>
    <row r="54" spans="8:10" x14ac:dyDescent="0.25">
      <c r="H54" t="str">
        <f>player_metrics!B54</f>
        <v>Vivek Shetty</v>
      </c>
      <c r="I54">
        <f>raw_data!N54</f>
        <v>4.3</v>
      </c>
      <c r="J54" s="5">
        <f>player_metrics!N54</f>
        <v>1.0822315056758762</v>
      </c>
    </row>
    <row r="55" spans="8:10" x14ac:dyDescent="0.25">
      <c r="H55" t="str">
        <f>player_metrics!B55</f>
        <v>Pranav Wagh</v>
      </c>
      <c r="I55">
        <f>raw_data!N55</f>
        <v>7.6</v>
      </c>
      <c r="J55" s="5">
        <f>player_metrics!N55</f>
        <v>1.2678615018963195</v>
      </c>
    </row>
    <row r="56" spans="8:10" x14ac:dyDescent="0.25">
      <c r="H56" t="str">
        <f>player_metrics!B56</f>
        <v>Ritesh Walia</v>
      </c>
      <c r="I56">
        <f>raw_data!N56</f>
        <v>6.2</v>
      </c>
      <c r="J56" s="5">
        <f>player_metrics!N56</f>
        <v>1.1729732739679579</v>
      </c>
    </row>
    <row r="57" spans="8:10" x14ac:dyDescent="0.25">
      <c r="H57" t="str">
        <f>player_metrics!B57</f>
        <v>Darshil Vora</v>
      </c>
      <c r="I57">
        <f>raw_data!N57</f>
        <v>11.8</v>
      </c>
      <c r="J57" s="5">
        <f>player_metrics!N57</f>
        <v>1.081586554463184</v>
      </c>
    </row>
    <row r="58" spans="8:10" x14ac:dyDescent="0.25">
      <c r="H58" t="str">
        <f>player_metrics!B58</f>
        <v>Rajat Talwar</v>
      </c>
      <c r="I58">
        <f>raw_data!N58</f>
        <v>12.7</v>
      </c>
      <c r="J58" s="5">
        <f>player_metrics!N58</f>
        <v>1.2221069054432523</v>
      </c>
    </row>
    <row r="59" spans="8:10" x14ac:dyDescent="0.25">
      <c r="H59" t="str">
        <f>player_metrics!B59</f>
        <v>Yash Vartak</v>
      </c>
      <c r="I59">
        <f>raw_data!N59</f>
        <v>5.4</v>
      </c>
      <c r="J59" s="5">
        <f>player_metrics!N59</f>
        <v>1.3279097077353814</v>
      </c>
    </row>
    <row r="60" spans="8:10" x14ac:dyDescent="0.25">
      <c r="H60" t="str">
        <f>player_metrics!B60</f>
        <v>Saket Bafna</v>
      </c>
      <c r="I60">
        <f>raw_data!N60</f>
        <v>8.9</v>
      </c>
      <c r="J60" s="5">
        <f>player_metrics!N60</f>
        <v>1.1546017774672683</v>
      </c>
    </row>
    <row r="61" spans="8:10" x14ac:dyDescent="0.25">
      <c r="H61" t="str">
        <f>player_metrics!B61</f>
        <v>Naman Luthra</v>
      </c>
      <c r="I61">
        <f>raw_data!N61</f>
        <v>6.5</v>
      </c>
      <c r="J61" s="5">
        <f>player_metrics!N61</f>
        <v>1.1286218859409196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raw_data</vt:lpstr>
      <vt:lpstr>player_metrics</vt:lpstr>
      <vt:lpstr>squad_selection</vt:lpstr>
      <vt:lpstr>Dashboard</vt:lpstr>
      <vt:lpstr>raw_data!cricket_data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2026-03-01T10:36:37Z</dcterms:created>
  <dcterms:modified xsi:type="dcterms:W3CDTF">2026-03-01T22:01:47Z</dcterms:modified>
</cp:coreProperties>
</file>